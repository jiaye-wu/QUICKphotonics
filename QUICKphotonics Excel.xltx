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/>
  <workbookPr/>
  <mc:AlternateContent xmlns:mc="http://schemas.openxmlformats.org/markup-compatibility/2006">
    <mc:Choice Requires="x15">
      <x15ac:absPath xmlns:x15ac="http://schemas.microsoft.com/office/spreadsheetml/2010/11/ac" url="C:\Users\jiaye\Documents\My Laptop\Documents\科研工具\QUICKphotonics Excel Jiaye\"/>
    </mc:Choice>
  </mc:AlternateContent>
  <xr:revisionPtr revIDLastSave="0" documentId="8_{B3DCC25E-FE82-42A7-875A-7A4A7A6FB38B}" xr6:coauthVersionLast="47" xr6:coauthVersionMax="47" xr10:uidLastSave="{00000000-0000-0000-0000-000000000000}"/>
  <bookViews>
    <workbookView xWindow="-110" yWindow="-110" windowWidth="22620" windowHeight="13500" xr2:uid="{00000000-000D-0000-FFFF-FFFF00000000}"/>
  </bookViews>
  <sheets>
    <sheet name="Main" sheetId="1" r:id="rId1"/>
    <sheet name="Lookup 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2" i="1" l="1"/>
  <c r="O71" i="1"/>
  <c r="O68" i="1"/>
  <c r="O67" i="1"/>
  <c r="M64" i="1"/>
  <c r="M63" i="1"/>
  <c r="I64" i="1"/>
  <c r="I63" i="1"/>
  <c r="J60" i="1"/>
  <c r="N60" i="1" s="1"/>
  <c r="J59" i="1"/>
  <c r="N59" i="1" s="1"/>
  <c r="N55" i="1"/>
  <c r="N54" i="1"/>
  <c r="N51" i="1"/>
  <c r="N50" i="1"/>
  <c r="N47" i="1"/>
  <c r="F47" i="1"/>
  <c r="N41" i="1"/>
  <c r="M43" i="1"/>
  <c r="I43" i="1"/>
  <c r="J15" i="1"/>
  <c r="N15" i="1" s="1"/>
  <c r="F15" i="1"/>
  <c r="F12" i="1"/>
  <c r="J12" i="1" s="1"/>
  <c r="N12" i="1" s="1"/>
  <c r="H39" i="1"/>
  <c r="H36" i="1"/>
  <c r="M39" i="1"/>
  <c r="M36" i="1"/>
  <c r="M33" i="1"/>
  <c r="H33" i="1"/>
  <c r="F19" i="1"/>
  <c r="F22" i="1"/>
  <c r="N9" i="1"/>
  <c r="J9" i="1"/>
  <c r="F9" i="1"/>
  <c r="F6" i="1"/>
  <c r="J6" i="1" s="1"/>
  <c r="N29" i="1"/>
  <c r="N26" i="1"/>
  <c r="F29" i="1"/>
  <c r="F26" i="1"/>
  <c r="N22" i="1"/>
  <c r="N19" i="1"/>
  <c r="N6" i="1" l="1"/>
</calcChain>
</file>

<file path=xl/sharedStrings.xml><?xml version="1.0" encoding="utf-8"?>
<sst xmlns="http://schemas.openxmlformats.org/spreadsheetml/2006/main" count="428" uniqueCount="129">
  <si>
    <t>Version 1.0.20241015.01</t>
  </si>
  <si>
    <r>
      <t xml:space="preserve">QUICKphotonics Excel </t>
    </r>
    <r>
      <rPr>
        <sz val="16"/>
        <color theme="1"/>
        <rFont val="Arial"/>
        <family val="2"/>
      </rPr>
      <t>Quick UnIt Conversion Kit for photonics on Excel</t>
    </r>
  </si>
  <si>
    <t>Symbol</t>
  </si>
  <si>
    <t>Value</t>
  </si>
  <si>
    <t>Unit</t>
  </si>
  <si>
    <t>Factor</t>
  </si>
  <si>
    <t>T</t>
  </si>
  <si>
    <t>P</t>
  </si>
  <si>
    <t>Constant</t>
  </si>
  <si>
    <t>Peta</t>
  </si>
  <si>
    <t>G</t>
  </si>
  <si>
    <t>k</t>
  </si>
  <si>
    <t>M</t>
  </si>
  <si>
    <t>-</t>
  </si>
  <si>
    <t>m</t>
  </si>
  <si>
    <t>μ</t>
  </si>
  <si>
    <t>n</t>
  </si>
  <si>
    <t>p</t>
  </si>
  <si>
    <t>f</t>
  </si>
  <si>
    <t>kilo</t>
  </si>
  <si>
    <t>milli</t>
  </si>
  <si>
    <t>micro</t>
  </si>
  <si>
    <t>nano</t>
  </si>
  <si>
    <t>pico</t>
  </si>
  <si>
    <t>femto</t>
  </si>
  <si>
    <t>speed of light</t>
  </si>
  <si>
    <t>c</t>
  </si>
  <si>
    <t>Prefix</t>
  </si>
  <si>
    <t>Planck constant</t>
  </si>
  <si>
    <t>charge of electron</t>
  </si>
  <si>
    <t>mass of electron</t>
  </si>
  <si>
    <t>time-bandwidth product, Gaussian</t>
  </si>
  <si>
    <t>time-bandwidth product, Sech^2</t>
  </si>
  <si>
    <t>e</t>
  </si>
  <si>
    <r>
      <rPr>
        <i/>
        <sz val="14"/>
        <color theme="1"/>
        <rFont val="Arial"/>
        <family val="2"/>
      </rPr>
      <t>m</t>
    </r>
    <r>
      <rPr>
        <sz val="14"/>
        <color theme="1"/>
        <rFont val="Arial"/>
        <family val="2"/>
      </rPr>
      <t>_e</t>
    </r>
  </si>
  <si>
    <t>h</t>
  </si>
  <si>
    <t>m/s</t>
  </si>
  <si>
    <t>C</t>
  </si>
  <si>
    <t>kg</t>
  </si>
  <si>
    <t>J/Hz</t>
  </si>
  <si>
    <r>
      <t xml:space="preserve">QUICKphotonics Excel </t>
    </r>
    <r>
      <rPr>
        <sz val="16"/>
        <color theme="1"/>
        <rFont val="Arial"/>
        <family val="2"/>
      </rPr>
      <t>lookup table: DO NOT MODIFY</t>
    </r>
  </si>
  <si>
    <t>unit</t>
  </si>
  <si>
    <t>→</t>
  </si>
  <si>
    <t>Hz</t>
  </si>
  <si>
    <t>prefix</t>
  </si>
  <si>
    <t>λ</t>
  </si>
  <si>
    <t>s</t>
  </si>
  <si>
    <t>Power</t>
  </si>
  <si>
    <t>Frequency &amp; Period</t>
  </si>
  <si>
    <t>linear</t>
  </si>
  <si>
    <t>log</t>
  </si>
  <si>
    <t>mW</t>
  </si>
  <si>
    <t>dBm</t>
  </si>
  <si>
    <t>Decibel &amp; Linear</t>
  </si>
  <si>
    <t>dB</t>
  </si>
  <si>
    <t>E</t>
  </si>
  <si>
    <t>eV</t>
  </si>
  <si>
    <t>J</t>
  </si>
  <si>
    <t>Wavelength &amp; Frequency &amp; Photon Energy</t>
  </si>
  <si>
    <t>Angular Frequency &amp; Frequency</t>
  </si>
  <si>
    <t>ω</t>
  </si>
  <si>
    <t>rad/s</t>
  </si>
  <si>
    <t>in</t>
  </si>
  <si>
    <r>
      <t>media</t>
    </r>
    <r>
      <rPr>
        <b/>
        <i/>
        <sz val="14"/>
        <color theme="1"/>
        <rFont val="Arial"/>
        <family val="2"/>
      </rPr>
      <t xml:space="preserve"> n</t>
    </r>
  </si>
  <si>
    <t>has</t>
  </si>
  <si>
    <t>wavenumber</t>
  </si>
  <si>
    <t>/m</t>
  </si>
  <si>
    <t>and</t>
  </si>
  <si>
    <t>light speed</t>
  </si>
  <si>
    <t>Wavenumber &amp; Light Speed in Media</t>
  </si>
  <si>
    <t>with</t>
  </si>
  <si>
    <t>incident angle</t>
  </si>
  <si>
    <t>DEG</t>
  </si>
  <si>
    <t>RAD</t>
  </si>
  <si>
    <t>reflection (s)</t>
  </si>
  <si>
    <t>reflection (p)</t>
  </si>
  <si>
    <t>=</t>
  </si>
  <si>
    <t>Fresnel Reflection</t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</si>
  <si>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</si>
  <si>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</si>
  <si>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rgb="FFC00000"/>
        <rFont val="Arial"/>
        <family val="2"/>
      </rPr>
      <t>f</t>
    </r>
    <r>
      <rPr>
        <b/>
        <sz val="14"/>
        <color rgb="FFC00000"/>
        <rFont val="Arial"/>
        <family val="2"/>
      </rPr>
      <t xml:space="preserve"> &amp; Δ</t>
    </r>
    <r>
      <rPr>
        <b/>
        <i/>
        <sz val="14"/>
        <color rgb="FFC00000"/>
        <rFont val="Arial"/>
        <family val="2"/>
      </rPr>
      <t>λ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</si>
  <si>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</si>
  <si>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</si>
  <si>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theme="1"/>
        <rFont val="Arial"/>
        <family val="2"/>
      </rPr>
      <t>λ</t>
    </r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</si>
  <si>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</si>
  <si>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</si>
  <si>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theme="1"/>
        <rFont val="Arial"/>
        <family val="2"/>
      </rPr>
      <t>f</t>
    </r>
  </si>
  <si>
    <t>at</t>
  </si>
  <si>
    <t>center</t>
  </si>
  <si>
    <t>|</t>
  </si>
  <si>
    <t>Name</t>
  </si>
  <si>
    <t>Tera</t>
  </si>
  <si>
    <t>Giga</t>
  </si>
  <si>
    <t>Mega</t>
  </si>
  <si>
    <r>
      <t>→ Δ</t>
    </r>
    <r>
      <rPr>
        <b/>
        <i/>
        <sz val="14"/>
        <color theme="1"/>
        <rFont val="Arial"/>
        <family val="2"/>
      </rPr>
      <t>λ</t>
    </r>
  </si>
  <si>
    <r>
      <t>→ Δ</t>
    </r>
    <r>
      <rPr>
        <b/>
        <i/>
        <sz val="14"/>
        <color theme="1"/>
        <rFont val="Arial"/>
        <family val="2"/>
      </rPr>
      <t>f</t>
    </r>
  </si>
  <si>
    <r>
      <t>Get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</si>
  <si>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</si>
  <si>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</si>
  <si>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>_c</t>
    </r>
  </si>
  <si>
    <t>cavity length</t>
  </si>
  <si>
    <t>of</t>
  </si>
  <si>
    <t>FSR</t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</si>
  <si>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_cav</t>
    </r>
  </si>
  <si>
    <t>cavity length (linear)</t>
  </si>
  <si>
    <t>cavity length (ring)</t>
  </si>
  <si>
    <t>Cavity FSR, Length, &amp; Pulse Strength</t>
  </si>
  <si>
    <t>P_avg</t>
  </si>
  <si>
    <t>a.u.</t>
  </si>
  <si>
    <t>P_peak</t>
  </si>
  <si>
    <t>rep rate</t>
  </si>
  <si>
    <t>FWHM</t>
  </si>
  <si>
    <t>P_avg 
↓
P_peak</t>
  </si>
  <si>
    <t>P_peak 
↓ 
P_avg</t>
  </si>
  <si>
    <t>linear cavity</t>
  </si>
  <si>
    <t>ring cavity</t>
  </si>
  <si>
    <t>cavity 
length</t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</si>
  <si>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_c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</si>
  <si>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_c</t>
    </r>
  </si>
  <si>
    <r>
      <t xml:space="preserve">a tool by </t>
    </r>
    <r>
      <rPr>
        <sz val="14"/>
        <color rgb="FF0070C0"/>
        <rFont val="Arial"/>
        <family val="2"/>
      </rPr>
      <t>Jiaye Wu</t>
    </r>
  </si>
  <si>
    <t>pulsed 
cavities</t>
  </si>
  <si>
    <t>×100%</t>
  </si>
  <si>
    <t>Credits</t>
  </si>
  <si>
    <t>if you find this tool useful, please consider citing relevant works from us.</t>
  </si>
  <si>
    <t>https://github.com/jiaye-wu/QUICKphotonics</t>
  </si>
  <si>
    <t>MATLAB Version</t>
  </si>
  <si>
    <t>https://scholar.google.com/citations?user=D2n8tswAAAAJ</t>
  </si>
  <si>
    <t>Author Homepage</t>
  </si>
  <si>
    <t>GitHub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</si>
</sst>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E+00"/>
    <numFmt numFmtId="165" formatCode="0.00000000"/>
    <numFmt numFmtId="166" formatCode="0.00000000E+00"/>
    <numFmt numFmtId="167" formatCode="0.000"/>
    <numFmt numFmtId="168" formatCode="0.0000"/>
    <numFmt numFmtId="169" formatCode="0.0000E+00"/>
  </numFmts>
  <fonts count="14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Arial"/>
      <family val="2"/>
    </font>
    <font>
      <i/>
      <sz val="14"/>
      <color theme="1"/>
      <name val="Arial"/>
      <family val="2"/>
    </font>
    <font>
      <sz val="14"/>
      <color rgb="FF0070C0"/>
      <name val="Arial"/>
      <family val="2"/>
    </font>
    <font>
      <u/>
      <sz val="14"/>
      <color theme="10"/>
      <name val="Arial"/>
      <family val="2"/>
    </font>
    <font>
      <b/>
      <i/>
      <sz val="14"/>
      <color theme="1"/>
      <name val="Arial"/>
      <family val="2"/>
    </font>
    <font>
      <b/>
      <sz val="14"/>
      <color rgb="FFC00000"/>
      <name val="Arial"/>
      <family val="2"/>
    </font>
    <font>
      <sz val="14"/>
      <color theme="7" tint="0.79998168889431442"/>
      <name val="Arial"/>
      <family val="2"/>
    </font>
    <font>
      <sz val="14"/>
      <name val="Arial"/>
      <family val="2"/>
    </font>
    <font>
      <b/>
      <i/>
      <sz val="14"/>
      <color rgb="FFC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0" fontId="5" fillId="2" borderId="0" xfId="0" applyFont="1" applyFill="1"/>
    <xf numFmtId="0" fontId="1" fillId="2" borderId="0" xfId="0" applyFont="1" applyFill="1"/>
    <xf numFmtId="0" fontId="1" fillId="3" borderId="0" xfId="0" applyFont="1" applyFill="1"/>
    <xf numFmtId="0" fontId="5" fillId="2" borderId="1" xfId="0" applyFont="1" applyFill="1" applyBorder="1"/>
    <xf numFmtId="165" fontId="5" fillId="2" borderId="1" xfId="0" applyNumberFormat="1" applyFont="1" applyFill="1" applyBorder="1"/>
    <xf numFmtId="0" fontId="1" fillId="2" borderId="1" xfId="0" applyFont="1" applyFill="1" applyBorder="1"/>
    <xf numFmtId="0" fontId="6" fillId="2" borderId="1" xfId="0" applyFont="1" applyFill="1" applyBorder="1"/>
    <xf numFmtId="1" fontId="1" fillId="2" borderId="1" xfId="0" applyNumberFormat="1" applyFont="1" applyFill="1" applyBorder="1"/>
    <xf numFmtId="166" fontId="1" fillId="2" borderId="1" xfId="0" applyNumberFormat="1" applyFont="1" applyFill="1" applyBorder="1"/>
    <xf numFmtId="167" fontId="1" fillId="2" borderId="1" xfId="0" applyNumberFormat="1" applyFont="1" applyFill="1" applyBorder="1"/>
    <xf numFmtId="0" fontId="5" fillId="3" borderId="1" xfId="0" applyFont="1" applyFill="1" applyBorder="1"/>
    <xf numFmtId="164" fontId="5" fillId="3" borderId="1" xfId="0" applyNumberFormat="1" applyFont="1" applyFill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0" fontId="5" fillId="5" borderId="0" xfId="0" applyFont="1" applyFill="1"/>
    <xf numFmtId="0" fontId="1" fillId="5" borderId="0" xfId="0" applyFont="1" applyFill="1"/>
    <xf numFmtId="2" fontId="1" fillId="5" borderId="0" xfId="0" applyNumberFormat="1" applyFont="1" applyFill="1"/>
    <xf numFmtId="0" fontId="1" fillId="6" borderId="0" xfId="0" applyFont="1" applyFill="1"/>
    <xf numFmtId="2" fontId="1" fillId="2" borderId="0" xfId="0" applyNumberFormat="1" applyFont="1" applyFill="1"/>
    <xf numFmtId="2" fontId="1" fillId="4" borderId="0" xfId="0" applyNumberFormat="1" applyFont="1" applyFill="1"/>
    <xf numFmtId="0" fontId="1" fillId="4" borderId="0" xfId="0" applyFont="1" applyFill="1"/>
    <xf numFmtId="0" fontId="5" fillId="7" borderId="0" xfId="0" applyFont="1" applyFill="1"/>
    <xf numFmtId="0" fontId="1" fillId="7" borderId="0" xfId="0" applyFont="1" applyFill="1" applyAlignment="1">
      <alignment horizontal="center" vertical="center"/>
    </xf>
    <xf numFmtId="0" fontId="1" fillId="7" borderId="0" xfId="0" applyFont="1" applyFill="1"/>
    <xf numFmtId="2" fontId="1" fillId="7" borderId="0" xfId="0" applyNumberFormat="1" applyFont="1" applyFill="1"/>
    <xf numFmtId="168" fontId="1" fillId="7" borderId="0" xfId="0" applyNumberFormat="1" applyFont="1" applyFill="1" applyAlignment="1">
      <alignment horizontal="center"/>
    </xf>
    <xf numFmtId="169" fontId="1" fillId="7" borderId="0" xfId="0" applyNumberFormat="1" applyFont="1" applyFill="1" applyAlignment="1">
      <alignment horizontal="center"/>
    </xf>
    <xf numFmtId="0" fontId="5" fillId="7" borderId="0" xfId="0" applyFont="1" applyFill="1" applyAlignment="1">
      <alignment horizontal="center" vertical="center"/>
    </xf>
    <xf numFmtId="169" fontId="1" fillId="5" borderId="0" xfId="0" applyNumberFormat="1" applyFont="1" applyFill="1"/>
    <xf numFmtId="0" fontId="1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7" borderId="0" xfId="0" applyFont="1" applyFill="1" applyAlignment="1">
      <alignment horizontal="right"/>
    </xf>
    <xf numFmtId="2" fontId="11" fillId="7" borderId="0" xfId="0" applyNumberFormat="1" applyFont="1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5" fillId="9" borderId="0" xfId="0" applyFont="1" applyFill="1"/>
    <xf numFmtId="0" fontId="5" fillId="9" borderId="0" xfId="0" applyFont="1" applyFill="1" applyAlignment="1">
      <alignment horizontal="center"/>
    </xf>
    <xf numFmtId="168" fontId="1" fillId="9" borderId="0" xfId="0" applyNumberFormat="1" applyFont="1" applyFill="1"/>
    <xf numFmtId="0" fontId="5" fillId="10" borderId="0" xfId="0" applyFont="1" applyFill="1"/>
    <xf numFmtId="0" fontId="1" fillId="10" borderId="0" xfId="0" applyFont="1" applyFill="1"/>
    <xf numFmtId="0" fontId="1" fillId="10" borderId="0" xfId="0" applyFont="1" applyFill="1" applyAlignment="1">
      <alignment horizontal="center" vertical="center"/>
    </xf>
    <xf numFmtId="2" fontId="1" fillId="10" borderId="0" xfId="0" applyNumberFormat="1" applyFont="1" applyFill="1"/>
    <xf numFmtId="0" fontId="5" fillId="10" borderId="0" xfId="0" applyFont="1" applyFill="1" applyAlignment="1">
      <alignment horizontal="right"/>
    </xf>
    <xf numFmtId="0" fontId="1" fillId="10" borderId="0" xfId="0" applyFont="1" applyFill="1" applyAlignment="1">
      <alignment horizontal="left"/>
    </xf>
    <xf numFmtId="0" fontId="5" fillId="11" borderId="0" xfId="0" applyFont="1" applyFill="1"/>
    <xf numFmtId="0" fontId="1" fillId="11" borderId="0" xfId="0" applyFont="1" applyFill="1"/>
    <xf numFmtId="0" fontId="5" fillId="11" borderId="0" xfId="0" applyFont="1" applyFill="1" applyAlignment="1">
      <alignment horizontal="center"/>
    </xf>
    <xf numFmtId="168" fontId="1" fillId="11" borderId="0" xfId="0" applyNumberFormat="1" applyFont="1" applyFill="1"/>
    <xf numFmtId="2" fontId="1" fillId="11" borderId="0" xfId="0" applyNumberFormat="1" applyFont="1" applyFill="1"/>
    <xf numFmtId="0" fontId="1" fillId="11" borderId="0" xfId="0" applyFont="1" applyFill="1" applyAlignment="1">
      <alignment horizontal="center"/>
    </xf>
    <xf numFmtId="0" fontId="1" fillId="11" borderId="0" xfId="0" applyFont="1" applyFill="1" applyAlignment="1">
      <alignment vertical="center"/>
    </xf>
    <xf numFmtId="0" fontId="9" fillId="11" borderId="0" xfId="0" applyFont="1" applyFill="1" applyAlignment="1">
      <alignment horizontal="center"/>
    </xf>
    <xf numFmtId="11" fontId="1" fillId="11" borderId="0" xfId="0" applyNumberFormat="1" applyFont="1" applyFill="1"/>
    <xf numFmtId="0" fontId="5" fillId="10" borderId="0" xfId="0" applyFont="1" applyFill="1" applyAlignment="1">
      <alignment horizontal="center"/>
    </xf>
    <xf numFmtId="0" fontId="9" fillId="7" borderId="0" xfId="0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9" fillId="5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5" fillId="4" borderId="0" xfId="0" applyFont="1" applyFill="1" applyAlignment="1">
      <alignment horizontal="right"/>
    </xf>
    <xf numFmtId="0" fontId="1" fillId="4" borderId="0" xfId="0" applyFont="1" applyFill="1" applyAlignment="1">
      <alignment horizontal="left"/>
    </xf>
    <xf numFmtId="0" fontId="5" fillId="3" borderId="0" xfId="0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2" fontId="1" fillId="3" borderId="0" xfId="0" applyNumberFormat="1" applyFont="1" applyFill="1" applyAlignment="1">
      <alignment horizontal="right"/>
    </xf>
    <xf numFmtId="0" fontId="9" fillId="8" borderId="0" xfId="0" applyFont="1" applyFill="1" applyAlignment="1">
      <alignment horizontal="right"/>
    </xf>
    <xf numFmtId="0" fontId="1" fillId="8" borderId="0" xfId="0" applyFont="1" applyFill="1" applyAlignment="1">
      <alignment horizontal="right"/>
    </xf>
    <xf numFmtId="0" fontId="5" fillId="11" borderId="0" xfId="0" applyFont="1" applyFill="1" applyAlignment="1">
      <alignment horizontal="right"/>
    </xf>
    <xf numFmtId="0" fontId="9" fillId="11" borderId="0" xfId="0" applyFont="1" applyFill="1" applyAlignment="1">
      <alignment horizontal="right"/>
    </xf>
    <xf numFmtId="2" fontId="1" fillId="6" borderId="1" xfId="0" applyNumberFormat="1" applyFont="1" applyFill="1" applyBorder="1" applyAlignment="1" applyProtection="1">
      <alignment horizontal="right"/>
      <protection locked="0"/>
    </xf>
    <xf numFmtId="2" fontId="1" fillId="6" borderId="1" xfId="0" applyNumberFormat="1" applyFont="1" applyFill="1" applyBorder="1" applyProtection="1">
      <protection locked="0"/>
    </xf>
    <xf numFmtId="169" fontId="1" fillId="6" borderId="1" xfId="0" applyNumberFormat="1" applyFont="1" applyFill="1" applyBorder="1" applyAlignment="1" applyProtection="1">
      <alignment horizontal="right"/>
      <protection locked="0"/>
    </xf>
    <xf numFmtId="2" fontId="1" fillId="6" borderId="1" xfId="0" applyNumberFormat="1" applyFont="1" applyFill="1" applyBorder="1" applyAlignment="1" applyProtection="1">
      <alignment horizontal="center"/>
      <protection locked="0"/>
    </xf>
    <xf numFmtId="169" fontId="1" fillId="6" borderId="1" xfId="0" applyNumberFormat="1" applyFont="1" applyFill="1" applyBorder="1" applyProtection="1">
      <protection locked="0"/>
    </xf>
    <xf numFmtId="2" fontId="1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Protection="1">
      <protection locked="0"/>
    </xf>
    <xf numFmtId="0" fontId="1" fillId="6" borderId="1" xfId="0" applyFont="1" applyFill="1" applyBorder="1" applyAlignment="1" applyProtection="1">
      <alignment horizontal="center"/>
      <protection locked="0"/>
    </xf>
    <xf numFmtId="168" fontId="1" fillId="6" borderId="1" xfId="0" applyNumberFormat="1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right"/>
      <protection locked="0"/>
    </xf>
    <xf numFmtId="0" fontId="1" fillId="5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 applyProtection="1">
      <alignment horizontal="right"/>
      <protection locked="0"/>
    </xf>
    <xf numFmtId="0" fontId="1" fillId="8" borderId="1" xfId="0" applyFont="1" applyFill="1" applyBorder="1" applyAlignment="1" applyProtection="1">
      <alignment horizontal="right"/>
      <protection locked="0"/>
    </xf>
    <xf numFmtId="0" fontId="1" fillId="10" borderId="1" xfId="0" applyFont="1" applyFill="1" applyBorder="1" applyAlignment="1" applyProtection="1">
      <alignment horizontal="right"/>
      <protection locked="0"/>
    </xf>
    <xf numFmtId="0" fontId="1" fillId="11" borderId="1" xfId="0" applyFont="1" applyFill="1" applyBorder="1" applyAlignment="1" applyProtection="1">
      <alignment horizontal="right"/>
      <protection locked="0"/>
    </xf>
    <xf numFmtId="0" fontId="5" fillId="11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left" vertical="center"/>
    </xf>
    <xf numFmtId="0" fontId="1" fillId="11" borderId="2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" fillId="6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4" borderId="2" xfId="0" applyFont="1" applyFill="1" applyBorder="1" applyAlignment="1">
      <alignment horizontal="left"/>
    </xf>
    <xf numFmtId="0" fontId="1" fillId="4" borderId="0" xfId="0" applyFont="1" applyFill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6" borderId="3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/>
    </xf>
    <xf numFmtId="0" fontId="9" fillId="7" borderId="0" xfId="0" applyFont="1" applyFill="1" applyAlignment="1">
      <alignment horizontal="right"/>
    </xf>
    <xf numFmtId="169" fontId="1" fillId="7" borderId="0" xfId="0" applyNumberFormat="1" applyFont="1" applyFill="1" applyAlignment="1">
      <alignment horizontal="right"/>
    </xf>
    <xf numFmtId="0" fontId="5" fillId="3" borderId="0" xfId="0" applyFont="1" applyFill="1" applyAlignment="1">
      <alignment horizontal="left"/>
    </xf>
    <xf numFmtId="0" fontId="5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left"/>
    </xf>
    <xf numFmtId="168" fontId="1" fillId="6" borderId="4" xfId="0" applyNumberFormat="1" applyFont="1" applyFill="1" applyBorder="1" applyAlignment="1" applyProtection="1">
      <alignment horizontal="right"/>
      <protection locked="0"/>
    </xf>
    <xf numFmtId="168" fontId="1" fillId="6" borderId="5" xfId="0" applyNumberFormat="1" applyFont="1" applyFill="1" applyBorder="1" applyAlignment="1" applyProtection="1">
      <alignment horizontal="right"/>
      <protection locked="0"/>
    </xf>
    <xf numFmtId="168" fontId="1" fillId="7" borderId="0" xfId="0" applyNumberFormat="1" applyFont="1" applyFill="1" applyAlignment="1">
      <alignment horizontal="right"/>
    </xf>
    <xf numFmtId="0" fontId="1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left"/>
    </xf>
    <xf numFmtId="0" fontId="1" fillId="8" borderId="0" xfId="0" applyFont="1" applyFill="1" applyAlignment="1">
      <alignment horizontal="left"/>
    </xf>
    <xf numFmtId="0" fontId="5" fillId="8" borderId="0" xfId="0" applyFont="1" applyFill="1" applyAlignment="1">
      <alignment horizontal="right"/>
    </xf>
    <xf numFmtId="2" fontId="1" fillId="8" borderId="0" xfId="0" applyNumberFormat="1" applyFont="1" applyFill="1" applyAlignment="1">
      <alignment horizontal="right"/>
    </xf>
    <xf numFmtId="0" fontId="5" fillId="5" borderId="0" xfId="0" applyFont="1" applyFill="1" applyAlignment="1">
      <alignment horizontal="left"/>
    </xf>
    <xf numFmtId="0" fontId="1" fillId="5" borderId="0" xfId="0" applyFont="1" applyFill="1" applyAlignment="1">
      <alignment horizontal="left"/>
    </xf>
    <xf numFmtId="0" fontId="10" fillId="7" borderId="0" xfId="0" applyFont="1" applyFill="1" applyAlignment="1">
      <alignment horizontal="center"/>
    </xf>
    <xf numFmtId="169" fontId="1" fillId="6" borderId="1" xfId="0" applyNumberFormat="1" applyFont="1" applyFill="1" applyBorder="1" applyAlignment="1" applyProtection="1">
      <alignment horizontal="right"/>
      <protection locked="0"/>
    </xf>
    <xf numFmtId="0" fontId="5" fillId="9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5" fillId="8" borderId="0" xfId="0" applyFont="1" applyFill="1" applyAlignment="1">
      <alignment horizontal="left"/>
    </xf>
    <xf numFmtId="168" fontId="1" fillId="9" borderId="0" xfId="0" applyNumberFormat="1" applyFont="1" applyFill="1" applyAlignment="1">
      <alignment horizontal="center"/>
    </xf>
    <xf numFmtId="0" fontId="1" fillId="9" borderId="0" xfId="0" applyFont="1" applyFill="1" applyAlignment="1">
      <alignment horizontal="left"/>
    </xf>
    <xf numFmtId="0" fontId="10" fillId="9" borderId="0" xfId="0" applyFont="1" applyFill="1" applyAlignment="1">
      <alignment horizontal="center"/>
    </xf>
    <xf numFmtId="0" fontId="10" fillId="9" borderId="6" xfId="0" applyFont="1" applyFill="1" applyBorder="1" applyAlignment="1">
      <alignment horizontal="center"/>
    </xf>
    <xf numFmtId="0" fontId="5" fillId="9" borderId="0" xfId="0" applyFont="1" applyFill="1" applyAlignment="1">
      <alignment horizontal="right"/>
    </xf>
    <xf numFmtId="168" fontId="12" fillId="6" borderId="1" xfId="0" applyNumberFormat="1" applyFont="1" applyFill="1" applyBorder="1" applyAlignment="1" applyProtection="1">
      <alignment horizontal="right"/>
      <protection locked="0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left" vertical="center"/>
    </xf>
    <xf numFmtId="0" fontId="1" fillId="10" borderId="0" xfId="0" applyFont="1" applyFill="1"/>
    <xf numFmtId="0" fontId="1" fillId="10" borderId="6" xfId="0" applyFont="1" applyFill="1" applyBorder="1"/>
    <xf numFmtId="0" fontId="1" fillId="10" borderId="0" xfId="0" applyFont="1" applyFill="1" applyAlignment="1">
      <alignment horizontal="left"/>
    </xf>
    <xf numFmtId="0" fontId="1" fillId="10" borderId="6" xfId="0" applyFont="1" applyFill="1" applyBorder="1" applyAlignment="1">
      <alignment horizontal="left"/>
    </xf>
    <xf numFmtId="0" fontId="10" fillId="10" borderId="0" xfId="0" applyFont="1" applyFill="1" applyAlignment="1">
      <alignment horizontal="center"/>
    </xf>
    <xf numFmtId="0" fontId="1" fillId="10" borderId="2" xfId="0" applyFont="1" applyFill="1" applyBorder="1" applyAlignment="1">
      <alignment horizontal="left" vertical="center"/>
    </xf>
    <xf numFmtId="0" fontId="1" fillId="11" borderId="0" xfId="0" applyFont="1" applyFill="1" applyAlignment="1">
      <alignment horizontal="left"/>
    </xf>
    <xf numFmtId="2" fontId="1" fillId="6" borderId="1" xfId="0" applyNumberFormat="1" applyFont="1" applyFill="1" applyBorder="1" applyAlignment="1" applyProtection="1">
      <alignment horizontal="right"/>
      <protection locked="0"/>
    </xf>
    <xf numFmtId="0" fontId="5" fillId="11" borderId="0" xfId="0" applyFont="1" applyFill="1" applyAlignment="1">
      <alignment horizontal="right"/>
    </xf>
    <xf numFmtId="0" fontId="10" fillId="11" borderId="0" xfId="0" applyFont="1" applyFill="1" applyAlignment="1">
      <alignment horizontal="center"/>
    </xf>
    <xf numFmtId="0" fontId="5" fillId="11" borderId="0" xfId="0" applyFont="1" applyFill="1" applyAlignment="1">
      <alignment horizontal="left" vertical="center"/>
    </xf>
    <xf numFmtId="167" fontId="1" fillId="11" borderId="0" xfId="0" applyNumberFormat="1" applyFont="1" applyFill="1" applyAlignment="1">
      <alignment horizontal="right"/>
    </xf>
    <xf numFmtId="0" fontId="1" fillId="11" borderId="0" xfId="0" applyFont="1" applyFill="1" applyAlignment="1">
      <alignment horizontal="right"/>
    </xf>
    <xf numFmtId="2" fontId="1" fillId="11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8" fillId="6" borderId="0" xfId="1" applyFont="1" applyFill="1" applyAlignment="1" applyProtection="1">
      <alignment horizontal="center"/>
      <protection locked="0"/>
    </xf>
    <xf numFmtId="0" fontId="1" fillId="6" borderId="6" xfId="0" applyFont="1" applyFill="1" applyBorder="1" applyAlignment="1">
      <alignment horizontal="center"/>
    </xf>
    <xf numFmtId="165" fontId="1" fillId="6" borderId="0" xfId="0" applyNumberFormat="1" applyFont="1" applyFill="1"/>
    <xf numFmtId="0" fontId="5" fillId="6" borderId="0" xfId="0" applyFont="1" applyFill="1"/>
    <xf numFmtId="0" fontId="8" fillId="6" borderId="0" xfId="1" applyFont="1" applyFill="1" applyAlignment="1" applyProtection="1">
      <alignment horizontal="left"/>
      <protection locked="0"/>
    </xf>
    <xf numFmtId="0" fontId="1" fillId="6" borderId="0" xfId="0" applyFont="1" applyFill="1" applyAlignment="1">
      <alignment horizontal="left"/>
    </xf>
    <xf numFmtId="165" fontId="1" fillId="6" borderId="0" xfId="0" applyNumberFormat="1" applyFont="1" applyFill="1" applyAlignment="1">
      <alignment horizontal="left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jiaye-wu/QUICKphotonic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jiaye-wu.github.io/" TargetMode="External"/><Relationship Id="rId2" Type="http://schemas.openxmlformats.org/officeDocument/2006/relationships/hyperlink" Target="https://scholar.google.com/citations?user=D2n8tswAAAAJ" TargetMode="External"/><Relationship Id="rId1" Type="http://schemas.openxmlformats.org/officeDocument/2006/relationships/hyperlink" Target="https://github.com/jiaye-wu/QUICKphotonic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74"/>
  <sheetViews>
    <sheetView tabSelected="1" workbookViewId="0">
      <selection activeCell="B7" sqref="B7"/>
    </sheetView>
  </sheetViews>
  <sheetFormatPr defaultColWidth="0" defaultRowHeight="17.5" zeroHeight="1" x14ac:dyDescent="0.35"/>
  <cols>
    <col min="1" max="1" width="5.1796875" style="1" customWidth="1"/>
    <col min="2" max="2" width="15.1796875" style="1" bestFit="1" customWidth="1"/>
    <col min="3" max="3" width="9" style="1" bestFit="1" customWidth="1"/>
    <col min="4" max="4" width="8.7265625" style="1" bestFit="1" customWidth="1"/>
    <col min="5" max="5" width="10.453125" style="1" bestFit="1" customWidth="1"/>
    <col min="6" max="6" width="15.1796875" style="1" bestFit="1" customWidth="1"/>
    <col min="7" max="7" width="9.08984375" style="1" bestFit="1" customWidth="1"/>
    <col min="8" max="8" width="8" style="1" bestFit="1" customWidth="1"/>
    <col min="9" max="9" width="5.81640625" style="1" bestFit="1" customWidth="1"/>
    <col min="10" max="11" width="10.453125" style="1" bestFit="1" customWidth="1"/>
    <col min="12" max="12" width="8" style="1" bestFit="1" customWidth="1"/>
    <col min="13" max="13" width="5.6328125" style="1" bestFit="1" customWidth="1"/>
    <col min="14" max="14" width="10.453125" style="1" bestFit="1" customWidth="1"/>
    <col min="15" max="15" width="12.1796875" style="1" bestFit="1" customWidth="1"/>
    <col min="16" max="16" width="5.6328125" style="1" bestFit="1" customWidth="1"/>
    <col min="17" max="17" width="5.1796875" style="1" customWidth="1"/>
    <col min="18" max="16384" width="9.1796875" style="1" hidden="1"/>
  </cols>
  <sheetData>
    <row r="1" spans="1:17" ht="29.5" x14ac:dyDescent="0.55000000000000004">
      <c r="A1" s="102" t="s">
        <v>1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</row>
    <row r="2" spans="1:17" x14ac:dyDescent="0.35">
      <c r="A2" s="21"/>
      <c r="B2" s="94" t="s">
        <v>0</v>
      </c>
      <c r="C2" s="94"/>
      <c r="D2" s="94"/>
      <c r="E2" s="94"/>
      <c r="F2" s="94"/>
      <c r="G2" s="21"/>
      <c r="H2" s="94" t="s">
        <v>119</v>
      </c>
      <c r="I2" s="94"/>
      <c r="J2" s="94"/>
      <c r="K2" s="94"/>
      <c r="L2" s="21"/>
      <c r="M2" s="154" t="s">
        <v>128</v>
      </c>
      <c r="N2" s="154"/>
      <c r="O2" s="154"/>
      <c r="P2" s="154"/>
      <c r="Q2" s="21"/>
    </row>
    <row r="3" spans="1:17" x14ac:dyDescent="0.3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</row>
    <row r="4" spans="1:17" ht="18" x14ac:dyDescent="0.4">
      <c r="A4" s="93"/>
      <c r="B4" s="126" t="s">
        <v>58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93"/>
    </row>
    <row r="5" spans="1:17" ht="18" x14ac:dyDescent="0.4">
      <c r="A5" s="93"/>
      <c r="B5" s="60" t="s">
        <v>45</v>
      </c>
      <c r="C5" s="25" t="s">
        <v>44</v>
      </c>
      <c r="D5" s="25" t="s">
        <v>41</v>
      </c>
      <c r="E5" s="118" t="s">
        <v>42</v>
      </c>
      <c r="F5" s="60" t="s">
        <v>18</v>
      </c>
      <c r="G5" s="25" t="s">
        <v>44</v>
      </c>
      <c r="H5" s="25" t="s">
        <v>41</v>
      </c>
      <c r="I5" s="118" t="s">
        <v>42</v>
      </c>
      <c r="J5" s="107" t="s">
        <v>55</v>
      </c>
      <c r="K5" s="107"/>
      <c r="L5" s="25" t="s">
        <v>41</v>
      </c>
      <c r="M5" s="118" t="s">
        <v>42</v>
      </c>
      <c r="N5" s="107" t="s">
        <v>55</v>
      </c>
      <c r="O5" s="107"/>
      <c r="P5" s="25" t="s">
        <v>41</v>
      </c>
      <c r="Q5" s="93"/>
    </row>
    <row r="6" spans="1:17" x14ac:dyDescent="0.35">
      <c r="A6" s="93"/>
      <c r="B6" s="74">
        <v>1550</v>
      </c>
      <c r="C6" s="83" t="s">
        <v>22</v>
      </c>
      <c r="D6" s="27" t="s">
        <v>14</v>
      </c>
      <c r="E6" s="118"/>
      <c r="F6" s="61">
        <f>'Lookup Table'!$C$3/Main!B6/VLOOKUP(C6,'Lookup Table'!$G$3:$H$13,2,FALSE)/VLOOKUP(G6,'Lookup Table'!$G$3:$H$13,2,FALSE)</f>
        <v>193.41448903225807</v>
      </c>
      <c r="G6" s="83" t="s">
        <v>91</v>
      </c>
      <c r="H6" s="27" t="s">
        <v>43</v>
      </c>
      <c r="I6" s="118"/>
      <c r="J6" s="117">
        <f>'Lookup Table'!$C$6*Main!F6*VLOOKUP(G6,'Lookup Table'!$G$3:$H$13,2,FALSE)/'Lookup Table'!$C$4</f>
        <v>0.79989805640477218</v>
      </c>
      <c r="K6" s="117"/>
      <c r="L6" s="27" t="s">
        <v>56</v>
      </c>
      <c r="M6" s="118"/>
      <c r="N6" s="108">
        <f>'Lookup Table'!$C$6*Main!F6*VLOOKUP(G6,'Lookup Table'!$G$3:$H$13,2,FALSE)</f>
        <v>1.2815779723541476E-19</v>
      </c>
      <c r="O6" s="108"/>
      <c r="P6" s="27" t="s">
        <v>57</v>
      </c>
      <c r="Q6" s="93"/>
    </row>
    <row r="7" spans="1:17" x14ac:dyDescent="0.35">
      <c r="A7" s="93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93"/>
    </row>
    <row r="8" spans="1:17" ht="18" x14ac:dyDescent="0.4">
      <c r="A8" s="93"/>
      <c r="B8" s="60" t="s">
        <v>18</v>
      </c>
      <c r="C8" s="25" t="s">
        <v>44</v>
      </c>
      <c r="D8" s="25" t="s">
        <v>41</v>
      </c>
      <c r="E8" s="119" t="s">
        <v>42</v>
      </c>
      <c r="F8" s="60" t="s">
        <v>45</v>
      </c>
      <c r="G8" s="25" t="s">
        <v>44</v>
      </c>
      <c r="H8" s="25" t="s">
        <v>41</v>
      </c>
      <c r="I8" s="118" t="s">
        <v>42</v>
      </c>
      <c r="J8" s="107" t="s">
        <v>55</v>
      </c>
      <c r="K8" s="107"/>
      <c r="L8" s="25" t="s">
        <v>41</v>
      </c>
      <c r="M8" s="118" t="s">
        <v>42</v>
      </c>
      <c r="N8" s="107" t="s">
        <v>55</v>
      </c>
      <c r="O8" s="107"/>
      <c r="P8" s="25" t="s">
        <v>41</v>
      </c>
      <c r="Q8" s="93"/>
    </row>
    <row r="9" spans="1:17" x14ac:dyDescent="0.35">
      <c r="A9" s="93"/>
      <c r="B9" s="75">
        <v>192</v>
      </c>
      <c r="C9" s="83" t="s">
        <v>91</v>
      </c>
      <c r="D9" s="27" t="s">
        <v>43</v>
      </c>
      <c r="E9" s="119"/>
      <c r="F9" s="61">
        <f>'Lookup Table'!$C$3/Main!B9/VLOOKUP(C9,'Lookup Table'!$G$3:$H$13,2,FALSE)/VLOOKUP(G9,'Lookup Table'!$G$3:$H$13,2,FALSE)</f>
        <v>1561.4190520833331</v>
      </c>
      <c r="G9" s="83" t="s">
        <v>22</v>
      </c>
      <c r="H9" s="27" t="s">
        <v>14</v>
      </c>
      <c r="I9" s="118"/>
      <c r="J9" s="117">
        <f>'Lookup Table'!$C$6*Main!B9*VLOOKUP(C9,'Lookup Table'!$G$3:$H$13,2,FALSE)/'Lookup Table'!$C$4</f>
        <v>0.79404819979180452</v>
      </c>
      <c r="K9" s="117"/>
      <c r="L9" s="27" t="s">
        <v>56</v>
      </c>
      <c r="M9" s="118"/>
      <c r="N9" s="108">
        <f>'Lookup Table'!$C$6*Main!B9*VLOOKUP(C9,'Lookup Table'!$G$3:$H$13,2,FALSE)</f>
        <v>1.2722054688E-19</v>
      </c>
      <c r="O9" s="108"/>
      <c r="P9" s="27" t="s">
        <v>57</v>
      </c>
      <c r="Q9" s="93"/>
    </row>
    <row r="10" spans="1:17" ht="18" x14ac:dyDescent="0.35">
      <c r="A10" s="93"/>
      <c r="B10" s="28"/>
      <c r="C10" s="37"/>
      <c r="D10" s="27"/>
      <c r="E10" s="31"/>
      <c r="F10" s="28"/>
      <c r="G10" s="37"/>
      <c r="H10" s="27"/>
      <c r="I10" s="26"/>
      <c r="J10" s="29"/>
      <c r="K10" s="29"/>
      <c r="L10" s="27"/>
      <c r="M10" s="26"/>
      <c r="N10" s="30"/>
      <c r="O10" s="30"/>
      <c r="P10" s="27"/>
      <c r="Q10" s="93"/>
    </row>
    <row r="11" spans="1:17" ht="18" x14ac:dyDescent="0.4">
      <c r="A11" s="93"/>
      <c r="B11" s="107" t="s">
        <v>55</v>
      </c>
      <c r="C11" s="107"/>
      <c r="D11" s="25" t="s">
        <v>41</v>
      </c>
      <c r="E11" s="119" t="s">
        <v>42</v>
      </c>
      <c r="F11" s="107" t="s">
        <v>55</v>
      </c>
      <c r="G11" s="107"/>
      <c r="H11" s="25" t="s">
        <v>41</v>
      </c>
      <c r="I11" s="119" t="s">
        <v>42</v>
      </c>
      <c r="J11" s="60" t="s">
        <v>18</v>
      </c>
      <c r="K11" s="25" t="s">
        <v>44</v>
      </c>
      <c r="L11" s="25" t="s">
        <v>41</v>
      </c>
      <c r="M11" s="119" t="s">
        <v>42</v>
      </c>
      <c r="N11" s="60" t="s">
        <v>45</v>
      </c>
      <c r="O11" s="25" t="s">
        <v>44</v>
      </c>
      <c r="P11" s="25" t="s">
        <v>41</v>
      </c>
      <c r="Q11" s="93"/>
    </row>
    <row r="12" spans="1:17" x14ac:dyDescent="0.35">
      <c r="A12" s="93"/>
      <c r="B12" s="115">
        <v>0.8</v>
      </c>
      <c r="C12" s="116"/>
      <c r="D12" s="27" t="s">
        <v>56</v>
      </c>
      <c r="E12" s="119"/>
      <c r="F12" s="108">
        <f>B12*'Lookup Table'!$C$4</f>
        <v>1.281741304E-19</v>
      </c>
      <c r="G12" s="108"/>
      <c r="H12" s="27" t="s">
        <v>57</v>
      </c>
      <c r="I12" s="119"/>
      <c r="J12" s="28">
        <f>F12/'Lookup Table'!$C$6/VLOOKUP(K12,'Lookup Table'!$G$3:$H$13,2,FALSE)</f>
        <v>193.43913888385259</v>
      </c>
      <c r="K12" s="83" t="s">
        <v>91</v>
      </c>
      <c r="L12" s="27" t="s">
        <v>43</v>
      </c>
      <c r="M12" s="119"/>
      <c r="N12" s="61">
        <f>'Lookup Table'!$C$3/Main!J12/VLOOKUP(K12,'Lookup Table'!$G$3:$H$13,2,FALSE)/VLOOKUP(O12,'Lookup Table'!$G$3:$H$13,2,FALSE)</f>
        <v>1549.8024842842458</v>
      </c>
      <c r="O12" s="83" t="s">
        <v>22</v>
      </c>
      <c r="P12" s="27" t="s">
        <v>14</v>
      </c>
      <c r="Q12" s="93"/>
    </row>
    <row r="13" spans="1:17" ht="18" x14ac:dyDescent="0.35">
      <c r="A13" s="93"/>
      <c r="B13" s="38"/>
      <c r="C13" s="37"/>
      <c r="D13" s="27"/>
      <c r="E13" s="31"/>
      <c r="F13" s="28"/>
      <c r="G13" s="37"/>
      <c r="H13" s="27"/>
      <c r="I13" s="26"/>
      <c r="J13" s="29"/>
      <c r="K13" s="29"/>
      <c r="L13" s="27"/>
      <c r="M13" s="26"/>
      <c r="N13" s="30"/>
      <c r="O13" s="30"/>
      <c r="P13" s="27"/>
      <c r="Q13" s="93"/>
    </row>
    <row r="14" spans="1:17" ht="18" x14ac:dyDescent="0.4">
      <c r="A14" s="93"/>
      <c r="B14" s="107" t="s">
        <v>55</v>
      </c>
      <c r="C14" s="107"/>
      <c r="D14" s="25" t="s">
        <v>41</v>
      </c>
      <c r="E14" s="119" t="s">
        <v>42</v>
      </c>
      <c r="F14" s="107" t="s">
        <v>55</v>
      </c>
      <c r="G14" s="107"/>
      <c r="H14" s="25" t="s">
        <v>41</v>
      </c>
      <c r="I14" s="119" t="s">
        <v>42</v>
      </c>
      <c r="J14" s="60" t="s">
        <v>18</v>
      </c>
      <c r="K14" s="25" t="s">
        <v>44</v>
      </c>
      <c r="L14" s="25" t="s">
        <v>41</v>
      </c>
      <c r="M14" s="119" t="s">
        <v>42</v>
      </c>
      <c r="N14" s="60" t="s">
        <v>45</v>
      </c>
      <c r="O14" s="25" t="s">
        <v>44</v>
      </c>
      <c r="P14" s="25" t="s">
        <v>41</v>
      </c>
      <c r="Q14" s="93"/>
    </row>
    <row r="15" spans="1:17" x14ac:dyDescent="0.35">
      <c r="A15" s="93"/>
      <c r="B15" s="127">
        <v>1.2817E-19</v>
      </c>
      <c r="C15" s="127"/>
      <c r="D15" s="27" t="s">
        <v>57</v>
      </c>
      <c r="E15" s="119"/>
      <c r="F15" s="117">
        <f>B15/'Lookup Table'!$C$4</f>
        <v>0.79997422007085461</v>
      </c>
      <c r="G15" s="117"/>
      <c r="H15" s="27" t="s">
        <v>56</v>
      </c>
      <c r="I15" s="119"/>
      <c r="J15" s="28">
        <f>B15/'Lookup Table'!$C$6/VLOOKUP(K15,'Lookup Table'!$G$3:$H$13,2,FALSE)</f>
        <v>193.43290532473463</v>
      </c>
      <c r="K15" s="83" t="s">
        <v>91</v>
      </c>
      <c r="L15" s="27" t="s">
        <v>43</v>
      </c>
      <c r="M15" s="119"/>
      <c r="N15" s="61">
        <f>'Lookup Table'!$C$3/Main!J15/VLOOKUP(K15,'Lookup Table'!$G$3:$H$13,2,FALSE)/VLOOKUP(O15,'Lookup Table'!$G$3:$H$13,2,FALSE)</f>
        <v>1549.852428141475</v>
      </c>
      <c r="O15" s="83" t="s">
        <v>22</v>
      </c>
      <c r="P15" s="27" t="s">
        <v>14</v>
      </c>
      <c r="Q15" s="93"/>
    </row>
    <row r="16" spans="1:17" x14ac:dyDescent="0.35">
      <c r="A16" s="21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21"/>
    </row>
    <row r="17" spans="1:17" ht="18" x14ac:dyDescent="0.4">
      <c r="A17" s="93"/>
      <c r="B17" s="103" t="s">
        <v>59</v>
      </c>
      <c r="C17" s="103"/>
      <c r="D17" s="103"/>
      <c r="E17" s="103"/>
      <c r="F17" s="103"/>
      <c r="G17" s="103"/>
      <c r="H17" s="103"/>
      <c r="I17" s="93"/>
      <c r="J17" s="104" t="s">
        <v>48</v>
      </c>
      <c r="K17" s="104"/>
      <c r="L17" s="104"/>
      <c r="M17" s="104"/>
      <c r="N17" s="104"/>
      <c r="O17" s="104"/>
      <c r="P17" s="104"/>
      <c r="Q17" s="93"/>
    </row>
    <row r="18" spans="1:17" ht="18" x14ac:dyDescent="0.4">
      <c r="A18" s="93"/>
      <c r="B18" s="62" t="s">
        <v>60</v>
      </c>
      <c r="C18" s="124" t="s">
        <v>41</v>
      </c>
      <c r="D18" s="124"/>
      <c r="E18" s="100" t="s">
        <v>42</v>
      </c>
      <c r="F18" s="62" t="s">
        <v>18</v>
      </c>
      <c r="G18" s="18" t="s">
        <v>44</v>
      </c>
      <c r="H18" s="18" t="s">
        <v>41</v>
      </c>
      <c r="I18" s="93"/>
      <c r="J18" s="63" t="s">
        <v>18</v>
      </c>
      <c r="K18" s="4" t="s">
        <v>44</v>
      </c>
      <c r="L18" s="4" t="s">
        <v>41</v>
      </c>
      <c r="M18" s="101" t="s">
        <v>42</v>
      </c>
      <c r="N18" s="63" t="s">
        <v>6</v>
      </c>
      <c r="O18" s="4" t="s">
        <v>44</v>
      </c>
      <c r="P18" s="4" t="s">
        <v>41</v>
      </c>
      <c r="Q18" s="93"/>
    </row>
    <row r="19" spans="1:17" x14ac:dyDescent="0.35">
      <c r="A19" s="93"/>
      <c r="B19" s="76">
        <v>1300000000000000</v>
      </c>
      <c r="C19" s="125" t="s">
        <v>61</v>
      </c>
      <c r="D19" s="125"/>
      <c r="E19" s="100"/>
      <c r="F19" s="20">
        <f>Main!B19/2/PI()/VLOOKUP(G19,'Lookup Table'!$G$3:$H$13,2,FALSE)</f>
        <v>206.90142601946394</v>
      </c>
      <c r="G19" s="84" t="s">
        <v>91</v>
      </c>
      <c r="H19" s="19" t="s">
        <v>43</v>
      </c>
      <c r="I19" s="93"/>
      <c r="J19" s="75">
        <v>13</v>
      </c>
      <c r="K19" s="85" t="s">
        <v>93</v>
      </c>
      <c r="L19" s="5" t="s">
        <v>43</v>
      </c>
      <c r="M19" s="101"/>
      <c r="N19" s="22">
        <f>1/Main!J19/VLOOKUP(K19,'Lookup Table'!$G$3:$H$13,2,FALSE)/VLOOKUP(O19,'Lookup Table'!$G$3:$H$13,2,FALSE)</f>
        <v>76.92307692307692</v>
      </c>
      <c r="O19" s="85" t="s">
        <v>22</v>
      </c>
      <c r="P19" s="5" t="s">
        <v>46</v>
      </c>
      <c r="Q19" s="93"/>
    </row>
    <row r="20" spans="1:17" x14ac:dyDescent="0.35">
      <c r="A20" s="93"/>
      <c r="B20" s="19"/>
      <c r="C20" s="19"/>
      <c r="D20" s="19"/>
      <c r="E20" s="19"/>
      <c r="F20" s="19"/>
      <c r="G20" s="19"/>
      <c r="H20" s="19"/>
      <c r="I20" s="93"/>
      <c r="J20" s="5"/>
      <c r="K20" s="5"/>
      <c r="L20" s="5"/>
      <c r="M20" s="5"/>
      <c r="N20" s="5"/>
      <c r="O20" s="5"/>
      <c r="P20" s="5"/>
      <c r="Q20" s="93"/>
    </row>
    <row r="21" spans="1:17" ht="18" x14ac:dyDescent="0.4">
      <c r="A21" s="93"/>
      <c r="B21" s="62" t="s">
        <v>18</v>
      </c>
      <c r="C21" s="18" t="s">
        <v>44</v>
      </c>
      <c r="D21" s="18" t="s">
        <v>41</v>
      </c>
      <c r="E21" s="105" t="s">
        <v>42</v>
      </c>
      <c r="F21" s="62" t="s">
        <v>60</v>
      </c>
      <c r="G21" s="124" t="s">
        <v>41</v>
      </c>
      <c r="H21" s="124"/>
      <c r="I21" s="93"/>
      <c r="J21" s="63" t="s">
        <v>6</v>
      </c>
      <c r="K21" s="4" t="s">
        <v>44</v>
      </c>
      <c r="L21" s="4" t="s">
        <v>41</v>
      </c>
      <c r="M21" s="101" t="s">
        <v>42</v>
      </c>
      <c r="N21" s="63" t="s">
        <v>18</v>
      </c>
      <c r="O21" s="4" t="s">
        <v>44</v>
      </c>
      <c r="P21" s="4" t="s">
        <v>41</v>
      </c>
      <c r="Q21" s="93"/>
    </row>
    <row r="22" spans="1:17" x14ac:dyDescent="0.35">
      <c r="A22" s="93"/>
      <c r="B22" s="75">
        <v>193.41</v>
      </c>
      <c r="C22" s="84" t="s">
        <v>91</v>
      </c>
      <c r="D22" s="19" t="s">
        <v>43</v>
      </c>
      <c r="E22" s="105"/>
      <c r="F22" s="32">
        <f>Main!B22*VLOOKUP(C22,'Lookup Table'!$G$3:$H$13,2,FALSE)*2*PI()</f>
        <v>1215230870261603.8</v>
      </c>
      <c r="G22" s="125" t="s">
        <v>61</v>
      </c>
      <c r="H22" s="125"/>
      <c r="I22" s="93"/>
      <c r="J22" s="75">
        <v>10</v>
      </c>
      <c r="K22" s="85" t="s">
        <v>22</v>
      </c>
      <c r="L22" s="5" t="s">
        <v>46</v>
      </c>
      <c r="M22" s="101"/>
      <c r="N22" s="22">
        <f>1/Main!J22/VLOOKUP(K22,'Lookup Table'!$G$3:$H$13,2,FALSE)/VLOOKUP(O22,'Lookup Table'!$G$3:$H$13,2,FALSE)</f>
        <v>100</v>
      </c>
      <c r="O22" s="85" t="s">
        <v>93</v>
      </c>
      <c r="P22" s="5" t="s">
        <v>43</v>
      </c>
      <c r="Q22" s="93"/>
    </row>
    <row r="23" spans="1:17" s="94" customFormat="1" x14ac:dyDescent="0.35"/>
    <row r="24" spans="1:17" ht="18" x14ac:dyDescent="0.4">
      <c r="A24" s="93"/>
      <c r="B24" s="95" t="s">
        <v>47</v>
      </c>
      <c r="C24" s="95"/>
      <c r="D24" s="95"/>
      <c r="E24" s="95"/>
      <c r="F24" s="95"/>
      <c r="G24" s="95"/>
      <c r="H24" s="95"/>
      <c r="I24" s="93"/>
      <c r="J24" s="112" t="s">
        <v>53</v>
      </c>
      <c r="K24" s="112"/>
      <c r="L24" s="112"/>
      <c r="M24" s="112"/>
      <c r="N24" s="112"/>
      <c r="O24" s="112"/>
      <c r="P24" s="112"/>
      <c r="Q24" s="93"/>
    </row>
    <row r="25" spans="1:17" ht="18" x14ac:dyDescent="0.4">
      <c r="A25" s="93"/>
      <c r="B25" s="64" t="s">
        <v>49</v>
      </c>
      <c r="C25" s="106" t="s">
        <v>41</v>
      </c>
      <c r="D25" s="106"/>
      <c r="E25" s="96" t="s">
        <v>42</v>
      </c>
      <c r="F25" s="64" t="s">
        <v>50</v>
      </c>
      <c r="G25" s="106" t="s">
        <v>41</v>
      </c>
      <c r="H25" s="106"/>
      <c r="I25" s="93"/>
      <c r="J25" s="66" t="s">
        <v>49</v>
      </c>
      <c r="K25" s="109" t="s">
        <v>41</v>
      </c>
      <c r="L25" s="109"/>
      <c r="M25" s="113" t="s">
        <v>42</v>
      </c>
      <c r="N25" s="66" t="s">
        <v>50</v>
      </c>
      <c r="O25" s="109" t="s">
        <v>41</v>
      </c>
      <c r="P25" s="109"/>
      <c r="Q25" s="93"/>
    </row>
    <row r="26" spans="1:17" x14ac:dyDescent="0.35">
      <c r="A26" s="93"/>
      <c r="B26" s="75">
        <v>10</v>
      </c>
      <c r="C26" s="98" t="s">
        <v>51</v>
      </c>
      <c r="D26" s="99"/>
      <c r="E26" s="96"/>
      <c r="F26" s="23">
        <f>10*LOG10(Main!B26/1)</f>
        <v>10</v>
      </c>
      <c r="G26" s="99" t="s">
        <v>52</v>
      </c>
      <c r="H26" s="99"/>
      <c r="I26" s="93"/>
      <c r="J26" s="74">
        <v>0.5</v>
      </c>
      <c r="K26" s="114" t="s">
        <v>121</v>
      </c>
      <c r="L26" s="111"/>
      <c r="M26" s="113"/>
      <c r="N26" s="69">
        <f>10*LOG10(Main!J26/1)</f>
        <v>-3.0102999566398121</v>
      </c>
      <c r="O26" s="111" t="s">
        <v>54</v>
      </c>
      <c r="P26" s="111"/>
      <c r="Q26" s="93"/>
    </row>
    <row r="27" spans="1:17" x14ac:dyDescent="0.35">
      <c r="A27" s="93"/>
      <c r="B27" s="24"/>
      <c r="C27" s="65"/>
      <c r="D27" s="65"/>
      <c r="E27" s="24"/>
      <c r="F27" s="24"/>
      <c r="G27" s="65"/>
      <c r="H27" s="65"/>
      <c r="I27" s="93"/>
      <c r="J27" s="67"/>
      <c r="K27" s="68"/>
      <c r="L27" s="68"/>
      <c r="M27" s="6"/>
      <c r="N27" s="67"/>
      <c r="O27" s="68"/>
      <c r="P27" s="68"/>
      <c r="Q27" s="93"/>
    </row>
    <row r="28" spans="1:17" ht="18" x14ac:dyDescent="0.4">
      <c r="A28" s="93"/>
      <c r="B28" s="64" t="s">
        <v>50</v>
      </c>
      <c r="C28" s="106" t="s">
        <v>41</v>
      </c>
      <c r="D28" s="106"/>
      <c r="E28" s="97" t="s">
        <v>42</v>
      </c>
      <c r="F28" s="64" t="s">
        <v>49</v>
      </c>
      <c r="G28" s="106" t="s">
        <v>41</v>
      </c>
      <c r="H28" s="106"/>
      <c r="I28" s="93"/>
      <c r="J28" s="66" t="s">
        <v>50</v>
      </c>
      <c r="K28" s="109" t="s">
        <v>41</v>
      </c>
      <c r="L28" s="109"/>
      <c r="M28" s="110" t="s">
        <v>42</v>
      </c>
      <c r="N28" s="66" t="s">
        <v>49</v>
      </c>
      <c r="O28" s="109" t="s">
        <v>41</v>
      </c>
      <c r="P28" s="109"/>
      <c r="Q28" s="93"/>
    </row>
    <row r="29" spans="1:17" x14ac:dyDescent="0.35">
      <c r="A29" s="93"/>
      <c r="B29" s="75">
        <v>-10</v>
      </c>
      <c r="C29" s="99" t="s">
        <v>52</v>
      </c>
      <c r="D29" s="99"/>
      <c r="E29" s="97"/>
      <c r="F29" s="23">
        <f>10^(Main!B29/10)</f>
        <v>0.1</v>
      </c>
      <c r="G29" s="99" t="s">
        <v>51</v>
      </c>
      <c r="H29" s="99"/>
      <c r="I29" s="93"/>
      <c r="J29" s="74">
        <v>3</v>
      </c>
      <c r="K29" s="111" t="s">
        <v>54</v>
      </c>
      <c r="L29" s="111"/>
      <c r="M29" s="110"/>
      <c r="N29" s="69">
        <f>10^(Main!J29/10)</f>
        <v>1.9952623149688797</v>
      </c>
      <c r="O29" s="111" t="s">
        <v>121</v>
      </c>
      <c r="P29" s="111"/>
      <c r="Q29" s="93"/>
    </row>
    <row r="30" spans="1:17" x14ac:dyDescent="0.3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1:17" ht="18" x14ac:dyDescent="0.4">
      <c r="A31" s="93"/>
      <c r="B31" s="129" t="s">
        <v>69</v>
      </c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93"/>
    </row>
    <row r="32" spans="1:17" ht="18" x14ac:dyDescent="0.4">
      <c r="A32" s="93"/>
      <c r="B32" s="70" t="s">
        <v>45</v>
      </c>
      <c r="C32" s="34" t="s">
        <v>44</v>
      </c>
      <c r="D32" s="34" t="s">
        <v>41</v>
      </c>
      <c r="E32" s="33" t="s">
        <v>62</v>
      </c>
      <c r="F32" s="35" t="s">
        <v>63</v>
      </c>
      <c r="G32" s="36" t="s">
        <v>64</v>
      </c>
      <c r="H32" s="122" t="s">
        <v>65</v>
      </c>
      <c r="I32" s="122"/>
      <c r="J32" s="122"/>
      <c r="K32" s="34" t="s">
        <v>41</v>
      </c>
      <c r="L32" s="71" t="s">
        <v>67</v>
      </c>
      <c r="M32" s="122" t="s">
        <v>68</v>
      </c>
      <c r="N32" s="122"/>
      <c r="O32" s="122"/>
      <c r="P32" s="34" t="s">
        <v>41</v>
      </c>
      <c r="Q32" s="93"/>
    </row>
    <row r="33" spans="1:17" x14ac:dyDescent="0.35">
      <c r="A33" s="93"/>
      <c r="B33" s="75">
        <v>1550</v>
      </c>
      <c r="C33" s="86" t="s">
        <v>22</v>
      </c>
      <c r="D33" s="33" t="s">
        <v>14</v>
      </c>
      <c r="E33" s="33"/>
      <c r="F33" s="77">
        <v>1</v>
      </c>
      <c r="G33" s="36"/>
      <c r="H33" s="123">
        <f>F33*2*PI()/B33/VLOOKUP(C33,'Lookup Table'!$G$3:$H$13,2,FALSE)</f>
        <v>4053667.9401158621</v>
      </c>
      <c r="I33" s="123"/>
      <c r="J33" s="123"/>
      <c r="K33" s="33" t="s">
        <v>66</v>
      </c>
      <c r="L33" s="71"/>
      <c r="M33" s="123">
        <f>'Lookup Table'!$C$3/Main!F33</f>
        <v>299792458</v>
      </c>
      <c r="N33" s="123"/>
      <c r="O33" s="123"/>
      <c r="P33" s="33" t="s">
        <v>36</v>
      </c>
      <c r="Q33" s="93"/>
    </row>
    <row r="34" spans="1:17" x14ac:dyDescent="0.35">
      <c r="A34" s="93"/>
      <c r="B34" s="33"/>
      <c r="C34" s="33"/>
      <c r="D34" s="33"/>
      <c r="E34" s="33"/>
      <c r="F34" s="36"/>
      <c r="G34" s="36"/>
      <c r="H34" s="71"/>
      <c r="I34" s="71"/>
      <c r="J34" s="71"/>
      <c r="K34" s="33"/>
      <c r="L34" s="71"/>
      <c r="M34" s="71"/>
      <c r="N34" s="71"/>
      <c r="O34" s="71"/>
      <c r="P34" s="33"/>
      <c r="Q34" s="93"/>
    </row>
    <row r="35" spans="1:17" ht="18" x14ac:dyDescent="0.4">
      <c r="A35" s="93"/>
      <c r="B35" s="70" t="s">
        <v>18</v>
      </c>
      <c r="C35" s="34" t="s">
        <v>44</v>
      </c>
      <c r="D35" s="34" t="s">
        <v>41</v>
      </c>
      <c r="E35" s="33" t="s">
        <v>62</v>
      </c>
      <c r="F35" s="35" t="s">
        <v>63</v>
      </c>
      <c r="G35" s="36" t="s">
        <v>64</v>
      </c>
      <c r="H35" s="122" t="s">
        <v>65</v>
      </c>
      <c r="I35" s="122"/>
      <c r="J35" s="122"/>
      <c r="K35" s="34" t="s">
        <v>41</v>
      </c>
      <c r="L35" s="71" t="s">
        <v>67</v>
      </c>
      <c r="M35" s="122" t="s">
        <v>68</v>
      </c>
      <c r="N35" s="122"/>
      <c r="O35" s="122"/>
      <c r="P35" s="34" t="s">
        <v>41</v>
      </c>
      <c r="Q35" s="93"/>
    </row>
    <row r="36" spans="1:17" x14ac:dyDescent="0.35">
      <c r="A36" s="93"/>
      <c r="B36" s="75">
        <v>193.41</v>
      </c>
      <c r="C36" s="86" t="s">
        <v>91</v>
      </c>
      <c r="D36" s="33" t="s">
        <v>43</v>
      </c>
      <c r="E36" s="33"/>
      <c r="F36" s="77">
        <v>2</v>
      </c>
      <c r="G36" s="36"/>
      <c r="H36" s="123">
        <f>F36*2*PI()*B36*VLOOKUP(C36,'Lookup Table'!$G$3:$H$13,2,FALSE)/'Lookup Table'!$C$3</f>
        <v>8107147.7139134947</v>
      </c>
      <c r="I36" s="123"/>
      <c r="J36" s="123"/>
      <c r="K36" s="33" t="s">
        <v>66</v>
      </c>
      <c r="L36" s="71"/>
      <c r="M36" s="123">
        <f>'Lookup Table'!$C$3/Main!F36</f>
        <v>149896229</v>
      </c>
      <c r="N36" s="123"/>
      <c r="O36" s="123"/>
      <c r="P36" s="33" t="s">
        <v>36</v>
      </c>
      <c r="Q36" s="93"/>
    </row>
    <row r="37" spans="1:17" x14ac:dyDescent="0.35">
      <c r="A37" s="93"/>
      <c r="B37" s="33"/>
      <c r="C37" s="33"/>
      <c r="D37" s="33"/>
      <c r="E37" s="33"/>
      <c r="F37" s="36"/>
      <c r="G37" s="36"/>
      <c r="H37" s="71"/>
      <c r="I37" s="71"/>
      <c r="J37" s="71"/>
      <c r="K37" s="33"/>
      <c r="L37" s="71"/>
      <c r="M37" s="71"/>
      <c r="N37" s="71"/>
      <c r="O37" s="71"/>
      <c r="P37" s="33"/>
      <c r="Q37" s="93"/>
    </row>
    <row r="38" spans="1:17" ht="18" x14ac:dyDescent="0.4">
      <c r="A38" s="93"/>
      <c r="B38" s="70" t="s">
        <v>60</v>
      </c>
      <c r="C38" s="130" t="s">
        <v>41</v>
      </c>
      <c r="D38" s="130"/>
      <c r="E38" s="33" t="s">
        <v>62</v>
      </c>
      <c r="F38" s="35" t="s">
        <v>63</v>
      </c>
      <c r="G38" s="36" t="s">
        <v>64</v>
      </c>
      <c r="H38" s="122" t="s">
        <v>65</v>
      </c>
      <c r="I38" s="122"/>
      <c r="J38" s="122"/>
      <c r="K38" s="34" t="s">
        <v>41</v>
      </c>
      <c r="L38" s="71" t="s">
        <v>67</v>
      </c>
      <c r="M38" s="122" t="s">
        <v>68</v>
      </c>
      <c r="N38" s="122"/>
      <c r="O38" s="122"/>
      <c r="P38" s="34" t="s">
        <v>41</v>
      </c>
      <c r="Q38" s="93"/>
    </row>
    <row r="39" spans="1:17" x14ac:dyDescent="0.35">
      <c r="A39" s="93"/>
      <c r="B39" s="78">
        <v>1215200000000000</v>
      </c>
      <c r="C39" s="120" t="s">
        <v>61</v>
      </c>
      <c r="D39" s="121"/>
      <c r="E39" s="33"/>
      <c r="F39" s="77">
        <v>3</v>
      </c>
      <c r="G39" s="33"/>
      <c r="H39" s="123">
        <f>F39*B39/'Lookup Table'!$C$3</f>
        <v>12160412.654543832</v>
      </c>
      <c r="I39" s="123"/>
      <c r="J39" s="123"/>
      <c r="K39" s="33" t="s">
        <v>66</v>
      </c>
      <c r="L39" s="33"/>
      <c r="M39" s="123">
        <f>'Lookup Table'!$C$3/Main!F39</f>
        <v>99930819.333333328</v>
      </c>
      <c r="N39" s="123"/>
      <c r="O39" s="123"/>
      <c r="P39" s="33" t="s">
        <v>36</v>
      </c>
      <c r="Q39" s="93"/>
    </row>
    <row r="40" spans="1:17" s="94" customFormat="1" x14ac:dyDescent="0.35"/>
    <row r="41" spans="1:17" ht="18" x14ac:dyDescent="0.4">
      <c r="A41" s="93"/>
      <c r="B41" s="133" t="s">
        <v>77</v>
      </c>
      <c r="C41" s="133"/>
      <c r="D41" s="133"/>
      <c r="E41" s="133"/>
      <c r="F41" s="133"/>
      <c r="G41" s="133"/>
      <c r="H41" s="133"/>
      <c r="I41" s="134"/>
      <c r="J41" s="80">
        <v>45</v>
      </c>
      <c r="K41" s="132" t="s">
        <v>72</v>
      </c>
      <c r="L41" s="132"/>
      <c r="M41" s="40" t="s">
        <v>76</v>
      </c>
      <c r="N41" s="43">
        <f>J41/180*PI()</f>
        <v>0.78539816339744828</v>
      </c>
      <c r="O41" s="132" t="s">
        <v>73</v>
      </c>
      <c r="P41" s="132"/>
      <c r="Q41" s="93"/>
    </row>
    <row r="42" spans="1:17" ht="18" x14ac:dyDescent="0.4">
      <c r="A42" s="93"/>
      <c r="B42" s="42" t="s">
        <v>78</v>
      </c>
      <c r="C42" s="42" t="s">
        <v>79</v>
      </c>
      <c r="D42" s="39" t="s">
        <v>70</v>
      </c>
      <c r="E42" s="135" t="s">
        <v>71</v>
      </c>
      <c r="F42" s="135"/>
      <c r="G42" s="41" t="s">
        <v>41</v>
      </c>
      <c r="H42" s="40" t="s">
        <v>64</v>
      </c>
      <c r="I42" s="128" t="s">
        <v>74</v>
      </c>
      <c r="J42" s="128"/>
      <c r="K42" s="128"/>
      <c r="L42" s="39" t="s">
        <v>67</v>
      </c>
      <c r="M42" s="128" t="s">
        <v>75</v>
      </c>
      <c r="N42" s="128"/>
      <c r="O42" s="128"/>
      <c r="P42" s="128"/>
      <c r="Q42" s="93"/>
    </row>
    <row r="43" spans="1:17" x14ac:dyDescent="0.35">
      <c r="A43" s="93"/>
      <c r="B43" s="79">
        <v>1.44</v>
      </c>
      <c r="C43" s="79">
        <v>1</v>
      </c>
      <c r="D43" s="40"/>
      <c r="E43" s="136">
        <v>0.5</v>
      </c>
      <c r="F43" s="136"/>
      <c r="G43" s="40" t="s">
        <v>73</v>
      </c>
      <c r="H43" s="40"/>
      <c r="I43" s="131">
        <f>ABS((B43*COS(E43)-C43*SQRT(1-(B43/C43*SIN(E43))^2))/(B43*COS(E43)+C43*SQRT(1-(B43/C43*SIN(E43))^2)))^2</f>
        <v>7.391669639199798E-2</v>
      </c>
      <c r="J43" s="131"/>
      <c r="K43" s="131"/>
      <c r="L43" s="40"/>
      <c r="M43" s="131">
        <f>ABS((B43*SQRT(1-(B43/C43*SIN(E43))^2)-C43*COS(E43))/(B43*SQRT(1-(B43/C43*SIN(E43))^2)+C43*COS(E43)))^2</f>
        <v>7.3179136409311611E-3</v>
      </c>
      <c r="N43" s="131"/>
      <c r="O43" s="131"/>
      <c r="P43" s="131"/>
      <c r="Q43" s="93"/>
    </row>
    <row r="44" spans="1:17" x14ac:dyDescent="0.3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</row>
    <row r="45" spans="1:17" s="93" customFormat="1" ht="18" x14ac:dyDescent="0.4">
      <c r="B45" s="143" t="s">
        <v>80</v>
      </c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</row>
    <row r="46" spans="1:17" s="93" customFormat="1" ht="18" x14ac:dyDescent="0.4">
      <c r="B46" s="59" t="s">
        <v>81</v>
      </c>
      <c r="C46" s="59" t="s">
        <v>82</v>
      </c>
      <c r="D46" s="44" t="s">
        <v>44</v>
      </c>
      <c r="E46" s="44" t="s">
        <v>41</v>
      </c>
      <c r="F46" s="48" t="s">
        <v>94</v>
      </c>
      <c r="G46" s="44" t="s">
        <v>44</v>
      </c>
      <c r="H46" s="44" t="s">
        <v>41</v>
      </c>
      <c r="I46" s="46" t="s">
        <v>89</v>
      </c>
      <c r="J46" s="59" t="s">
        <v>84</v>
      </c>
      <c r="K46" s="59" t="s">
        <v>85</v>
      </c>
      <c r="L46" s="44" t="s">
        <v>44</v>
      </c>
      <c r="M46" s="44" t="s">
        <v>41</v>
      </c>
      <c r="N46" s="48" t="s">
        <v>95</v>
      </c>
      <c r="O46" s="44" t="s">
        <v>44</v>
      </c>
      <c r="P46" s="44" t="s">
        <v>41</v>
      </c>
    </row>
    <row r="47" spans="1:17" s="93" customFormat="1" x14ac:dyDescent="0.35">
      <c r="B47" s="77">
        <v>192.5</v>
      </c>
      <c r="C47" s="77">
        <v>193.5</v>
      </c>
      <c r="D47" s="87" t="s">
        <v>91</v>
      </c>
      <c r="E47" s="45" t="s">
        <v>43</v>
      </c>
      <c r="F47" s="47">
        <f>ABS(('Lookup Table'!$C$3)/(B47*VLOOKUP(D47,'Lookup Table'!$G$3:$H$13,2,FALSE))-('Lookup Table'!$C$3)/(C47*VLOOKUP(D47,'Lookup Table'!$G$3:$H$13,2,FALSE)))/VLOOKUP(G47,'Lookup Table'!$G$3:$H$13,2,FALSE)</f>
        <v>8.0483897580456265</v>
      </c>
      <c r="G47" s="87" t="s">
        <v>22</v>
      </c>
      <c r="H47" s="45" t="s">
        <v>14</v>
      </c>
      <c r="I47" s="46" t="s">
        <v>89</v>
      </c>
      <c r="J47" s="77">
        <v>1530</v>
      </c>
      <c r="K47" s="77">
        <v>1560</v>
      </c>
      <c r="L47" s="87" t="s">
        <v>22</v>
      </c>
      <c r="M47" s="45" t="s">
        <v>14</v>
      </c>
      <c r="N47" s="47">
        <f>ABS(('Lookup Table'!$C$3)/(J47*VLOOKUP(L47,'Lookup Table'!$G$3:$H$13,2,FALSE))-('Lookup Table'!$C$3)/(K47*VLOOKUP(L47,'Lookup Table'!$G$3:$H$13,2,FALSE)))/VLOOKUP(O47,'Lookup Table'!$G$3:$H$13,2,FALSE)</f>
        <v>3.768130442433375</v>
      </c>
      <c r="O47" s="87" t="s">
        <v>91</v>
      </c>
      <c r="P47" s="45" t="s">
        <v>43</v>
      </c>
    </row>
    <row r="48" spans="1:17" s="93" customFormat="1" x14ac:dyDescent="0.35"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</row>
    <row r="49" spans="1:17" s="93" customFormat="1" ht="18" x14ac:dyDescent="0.4">
      <c r="B49" s="45"/>
      <c r="C49" s="45"/>
      <c r="D49" s="45"/>
      <c r="E49" s="45"/>
      <c r="F49" s="48" t="s">
        <v>86</v>
      </c>
      <c r="G49" s="44" t="s">
        <v>44</v>
      </c>
      <c r="H49" s="44" t="s">
        <v>41</v>
      </c>
      <c r="I49" s="45" t="s">
        <v>87</v>
      </c>
      <c r="J49" s="44" t="s">
        <v>88</v>
      </c>
      <c r="K49" s="44" t="s">
        <v>44</v>
      </c>
      <c r="L49" s="44" t="s">
        <v>41</v>
      </c>
      <c r="M49" s="137" t="s">
        <v>42</v>
      </c>
      <c r="N49" s="48" t="s">
        <v>83</v>
      </c>
      <c r="O49" s="44" t="s">
        <v>44</v>
      </c>
      <c r="P49" s="44" t="s">
        <v>41</v>
      </c>
    </row>
    <row r="50" spans="1:17" s="93" customFormat="1" ht="18" x14ac:dyDescent="0.4">
      <c r="B50" s="139" t="s">
        <v>99</v>
      </c>
      <c r="C50" s="139"/>
      <c r="D50" s="139"/>
      <c r="E50" s="140"/>
      <c r="F50" s="75">
        <v>1</v>
      </c>
      <c r="G50" s="87" t="s">
        <v>91</v>
      </c>
      <c r="H50" s="138" t="s">
        <v>43</v>
      </c>
      <c r="I50" s="44" t="s">
        <v>117</v>
      </c>
      <c r="J50" s="75">
        <v>1550</v>
      </c>
      <c r="K50" s="87" t="s">
        <v>22</v>
      </c>
      <c r="L50" s="45" t="s">
        <v>14</v>
      </c>
      <c r="M50" s="137"/>
      <c r="N50" s="47">
        <f>F50*VLOOKUP(G50,'Lookup Table'!$G$3:$H$13,2,FALSE)*(J50*VLOOKUP(K50,'Lookup Table'!$G$3:$H$13,2,FALSE))^2/'Lookup Table'!$C$3/VLOOKUP(O50,'Lookup Table'!$G$3:$H$13,2,FALSE)</f>
        <v>8.0138773871356044</v>
      </c>
      <c r="O50" s="87" t="s">
        <v>22</v>
      </c>
      <c r="P50" s="144" t="s">
        <v>14</v>
      </c>
    </row>
    <row r="51" spans="1:17" s="93" customFormat="1" ht="18" x14ac:dyDescent="0.4">
      <c r="B51" s="141" t="s">
        <v>98</v>
      </c>
      <c r="C51" s="141"/>
      <c r="D51" s="141"/>
      <c r="E51" s="142"/>
      <c r="F51" s="75">
        <v>3.77</v>
      </c>
      <c r="G51" s="87" t="s">
        <v>91</v>
      </c>
      <c r="H51" s="138"/>
      <c r="I51" s="44" t="s">
        <v>118</v>
      </c>
      <c r="J51" s="75">
        <v>193.41</v>
      </c>
      <c r="K51" s="87" t="s">
        <v>91</v>
      </c>
      <c r="L51" s="45" t="s">
        <v>43</v>
      </c>
      <c r="M51" s="137"/>
      <c r="N51" s="47">
        <f>'Lookup Table'!C3*Main!F51*VLOOKUP(Main!G51,'Lookup Table'!$G$3:$H$13,2,FALSE)/(Main!J51*VLOOKUP(Main!K51,'Lookup Table'!$G$3:$H$13,2,FALSE))^2/VLOOKUP(Main!O51,'Lookup Table'!$G$3:$H$13,2,FALSE)</f>
        <v>30.213720217242098</v>
      </c>
      <c r="O51" s="87" t="s">
        <v>22</v>
      </c>
      <c r="P51" s="144"/>
    </row>
    <row r="52" spans="1:17" s="93" customFormat="1" x14ac:dyDescent="0.35">
      <c r="B52" s="49"/>
      <c r="C52" s="49"/>
      <c r="D52" s="49"/>
      <c r="E52" s="49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</row>
    <row r="53" spans="1:17" s="93" customFormat="1" ht="18" x14ac:dyDescent="0.4">
      <c r="B53" s="49"/>
      <c r="C53" s="49"/>
      <c r="D53" s="49"/>
      <c r="E53" s="49"/>
      <c r="F53" s="48" t="s">
        <v>83</v>
      </c>
      <c r="G53" s="44" t="s">
        <v>44</v>
      </c>
      <c r="H53" s="44" t="s">
        <v>41</v>
      </c>
      <c r="I53" s="45" t="s">
        <v>87</v>
      </c>
      <c r="J53" s="44" t="s">
        <v>88</v>
      </c>
      <c r="K53" s="44" t="s">
        <v>44</v>
      </c>
      <c r="L53" s="44" t="s">
        <v>41</v>
      </c>
      <c r="M53" s="137" t="s">
        <v>42</v>
      </c>
      <c r="N53" s="48" t="s">
        <v>86</v>
      </c>
      <c r="O53" s="44" t="s">
        <v>44</v>
      </c>
      <c r="P53" s="44" t="s">
        <v>41</v>
      </c>
    </row>
    <row r="54" spans="1:17" s="93" customFormat="1" ht="18" x14ac:dyDescent="0.4">
      <c r="B54" s="141" t="s">
        <v>96</v>
      </c>
      <c r="C54" s="141"/>
      <c r="D54" s="141"/>
      <c r="E54" s="142"/>
      <c r="F54" s="75">
        <v>8.0500000000000007</v>
      </c>
      <c r="G54" s="87" t="s">
        <v>22</v>
      </c>
      <c r="H54" s="138" t="s">
        <v>14</v>
      </c>
      <c r="I54" s="44" t="s">
        <v>117</v>
      </c>
      <c r="J54" s="75">
        <v>1550</v>
      </c>
      <c r="K54" s="87" t="s">
        <v>22</v>
      </c>
      <c r="L54" s="45" t="s">
        <v>14</v>
      </c>
      <c r="M54" s="137"/>
      <c r="N54" s="47">
        <f>'Lookup Table'!C3*Main!F54*VLOOKUP(Main!G54,'Lookup Table'!$G$3:$H$13,2,FALSE)/(Main!J54*VLOOKUP(Main!K54,'Lookup Table'!$G$3:$H$13,2,FALSE))^2/VLOOKUP(O54,'Lookup Table'!$G$3:$H$13,2,FALSE)</f>
        <v>1.0045075075546304</v>
      </c>
      <c r="O54" s="87" t="s">
        <v>91</v>
      </c>
      <c r="P54" s="144" t="s">
        <v>43</v>
      </c>
    </row>
    <row r="55" spans="1:17" s="93" customFormat="1" ht="18" x14ac:dyDescent="0.4">
      <c r="B55" s="141" t="s">
        <v>97</v>
      </c>
      <c r="C55" s="141"/>
      <c r="D55" s="141"/>
      <c r="E55" s="142"/>
      <c r="F55" s="75">
        <v>8.0500000000000007</v>
      </c>
      <c r="G55" s="87" t="s">
        <v>22</v>
      </c>
      <c r="H55" s="138"/>
      <c r="I55" s="44" t="s">
        <v>118</v>
      </c>
      <c r="J55" s="75">
        <v>193.41</v>
      </c>
      <c r="K55" s="87" t="s">
        <v>91</v>
      </c>
      <c r="L55" s="45" t="s">
        <v>43</v>
      </c>
      <c r="M55" s="137"/>
      <c r="N55" s="47">
        <f>F55*VLOOKUP(G55,'Lookup Table'!$G$3:$H$13,2,FALSE)*(J55*VLOOKUP(K55,'Lookup Table'!$G$3:$H$13,2,FALSE))^2/'Lookup Table'!$C$3/VLOOKUP(Main!O55,'Lookup Table'!$G$3:$H$13,2,FALSE)</f>
        <v>1.0044608800832477</v>
      </c>
      <c r="O55" s="87" t="s">
        <v>91</v>
      </c>
      <c r="P55" s="144"/>
    </row>
    <row r="56" spans="1:17" x14ac:dyDescent="0.35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</row>
    <row r="57" spans="1:17" ht="18" x14ac:dyDescent="0.4">
      <c r="A57" s="93"/>
      <c r="B57" s="148" t="s">
        <v>106</v>
      </c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93"/>
    </row>
    <row r="58" spans="1:17" ht="18" x14ac:dyDescent="0.4">
      <c r="A58" s="93"/>
      <c r="B58" s="149" t="s">
        <v>102</v>
      </c>
      <c r="C58" s="149"/>
      <c r="D58" s="52" t="s">
        <v>103</v>
      </c>
      <c r="E58" s="55" t="s">
        <v>101</v>
      </c>
      <c r="F58" s="147" t="s">
        <v>100</v>
      </c>
      <c r="G58" s="147"/>
      <c r="H58" s="50" t="s">
        <v>41</v>
      </c>
      <c r="I58" s="90" t="s">
        <v>42</v>
      </c>
      <c r="J58" s="73" t="s">
        <v>18</v>
      </c>
      <c r="K58" s="50" t="s">
        <v>44</v>
      </c>
      <c r="L58" s="50" t="s">
        <v>41</v>
      </c>
      <c r="M58" s="55" t="s">
        <v>67</v>
      </c>
      <c r="N58" s="73" t="s">
        <v>6</v>
      </c>
      <c r="O58" s="50" t="s">
        <v>44</v>
      </c>
      <c r="P58" s="50" t="s">
        <v>41</v>
      </c>
      <c r="Q58" s="93"/>
    </row>
    <row r="59" spans="1:17" x14ac:dyDescent="0.35">
      <c r="A59" s="93"/>
      <c r="B59" s="91" t="s">
        <v>114</v>
      </c>
      <c r="C59" s="91"/>
      <c r="D59" s="81">
        <v>1.44</v>
      </c>
      <c r="E59" s="51"/>
      <c r="F59" s="146">
        <v>16</v>
      </c>
      <c r="G59" s="146"/>
      <c r="H59" s="92" t="s">
        <v>14</v>
      </c>
      <c r="I59" s="90"/>
      <c r="J59" s="53">
        <f>'Lookup Table'!$C$3/Main!D59/Main!F59/2/VLOOKUP(K59,'Lookup Table'!$G$3:$H$13,2,FALSE)</f>
        <v>6.5059127170138886</v>
      </c>
      <c r="K59" s="88" t="s">
        <v>93</v>
      </c>
      <c r="L59" s="91" t="s">
        <v>43</v>
      </c>
      <c r="M59" s="51"/>
      <c r="N59" s="54">
        <f>1/(J59*VLOOKUP(K59,'Lookup Table'!$G$3:$H$13,2,FALSE))/VLOOKUP(O59,'Lookup Table'!$G$3:$H$13,2,FALSE)</f>
        <v>153.70633506730843</v>
      </c>
      <c r="O59" s="88" t="s">
        <v>22</v>
      </c>
      <c r="P59" s="91" t="s">
        <v>46</v>
      </c>
      <c r="Q59" s="93"/>
    </row>
    <row r="60" spans="1:17" x14ac:dyDescent="0.35">
      <c r="A60" s="93"/>
      <c r="B60" s="145" t="s">
        <v>115</v>
      </c>
      <c r="C60" s="145"/>
      <c r="D60" s="81">
        <v>1.44</v>
      </c>
      <c r="E60" s="51"/>
      <c r="F60" s="146">
        <v>13</v>
      </c>
      <c r="G60" s="146"/>
      <c r="H60" s="92"/>
      <c r="I60" s="90"/>
      <c r="J60" s="53">
        <f>'Lookup Table'!$C$3/Main!D60/Main!F60/VLOOKUP(K60,'Lookup Table'!$G$3:$H$13,2,FALSE)</f>
        <v>16.014554380341881</v>
      </c>
      <c r="K60" s="88" t="s">
        <v>93</v>
      </c>
      <c r="L60" s="91"/>
      <c r="M60" s="51"/>
      <c r="N60" s="54">
        <f>1/(J60*VLOOKUP(K60,'Lookup Table'!$G$3:$H$13,2,FALSE))/VLOOKUP(O60,'Lookup Table'!$G$3:$H$13,2,FALSE)</f>
        <v>62.443198621094055</v>
      </c>
      <c r="O60" s="88" t="s">
        <v>22</v>
      </c>
      <c r="P60" s="91"/>
      <c r="Q60" s="93"/>
    </row>
    <row r="61" spans="1:17" x14ac:dyDescent="0.35">
      <c r="A61" s="9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93"/>
    </row>
    <row r="62" spans="1:17" ht="18" x14ac:dyDescent="0.4">
      <c r="A62" s="93"/>
      <c r="B62" s="89" t="s">
        <v>116</v>
      </c>
      <c r="C62" s="52" t="s">
        <v>103</v>
      </c>
      <c r="D62" s="55" t="s">
        <v>87</v>
      </c>
      <c r="E62" s="50" t="s">
        <v>102</v>
      </c>
      <c r="F62" s="50" t="s">
        <v>44</v>
      </c>
      <c r="G62" s="50" t="s">
        <v>41</v>
      </c>
      <c r="H62" s="51" t="s">
        <v>64</v>
      </c>
      <c r="I62" s="147" t="s">
        <v>104</v>
      </c>
      <c r="J62" s="151"/>
      <c r="K62" s="151"/>
      <c r="L62" s="50" t="s">
        <v>41</v>
      </c>
      <c r="M62" s="147" t="s">
        <v>105</v>
      </c>
      <c r="N62" s="147"/>
      <c r="O62" s="147"/>
      <c r="P62" s="50" t="s">
        <v>41</v>
      </c>
      <c r="Q62" s="93"/>
    </row>
    <row r="63" spans="1:17" x14ac:dyDescent="0.35">
      <c r="A63" s="93"/>
      <c r="B63" s="89"/>
      <c r="C63" s="81">
        <v>1.44</v>
      </c>
      <c r="D63" s="57" t="s">
        <v>18</v>
      </c>
      <c r="E63" s="82">
        <v>6.5058999999999996</v>
      </c>
      <c r="F63" s="88" t="s">
        <v>93</v>
      </c>
      <c r="G63" s="56" t="s">
        <v>43</v>
      </c>
      <c r="H63" s="91" t="s">
        <v>42</v>
      </c>
      <c r="I63" s="150">
        <f>'Lookup Table'!$C$3/(2*Main!C63*Main!E63*VLOOKUP(F63,'Lookup Table'!$G$3:$H$13,2,FALSE))</f>
        <v>16.0000312750307</v>
      </c>
      <c r="J63" s="150"/>
      <c r="K63" s="150"/>
      <c r="L63" s="91" t="s">
        <v>14</v>
      </c>
      <c r="M63" s="152">
        <f>'Lookup Table'!$C$3/(Main!C63*Main!E63*VLOOKUP(F63,'Lookup Table'!$G$3:$H$13,2,FALSE))</f>
        <v>32.000062550061401</v>
      </c>
      <c r="N63" s="152"/>
      <c r="O63" s="152"/>
      <c r="P63" s="91" t="s">
        <v>14</v>
      </c>
      <c r="Q63" s="93"/>
    </row>
    <row r="64" spans="1:17" x14ac:dyDescent="0.35">
      <c r="A64" s="93"/>
      <c r="B64" s="89"/>
      <c r="C64" s="81">
        <v>1.44</v>
      </c>
      <c r="D64" s="57" t="s">
        <v>6</v>
      </c>
      <c r="E64" s="82">
        <v>76.849999999999994</v>
      </c>
      <c r="F64" s="88" t="s">
        <v>22</v>
      </c>
      <c r="G64" s="56" t="s">
        <v>46</v>
      </c>
      <c r="H64" s="91"/>
      <c r="I64" s="150">
        <f>'Lookup Table'!$C$3/(2*Main!C64)*Main!E64*VLOOKUP(F64,'Lookup Table'!$G$3:$H$13,2,FALSE)</f>
        <v>7.9996702768402779</v>
      </c>
      <c r="J64" s="150"/>
      <c r="K64" s="150"/>
      <c r="L64" s="91"/>
      <c r="M64" s="152">
        <f>'Lookup Table'!$C$3/(Main!C64)*Main!E64*VLOOKUP(F64,'Lookup Table'!$G$3:$H$13,2,FALSE)</f>
        <v>15.999340553680556</v>
      </c>
      <c r="N64" s="152"/>
      <c r="O64" s="152"/>
      <c r="P64" s="91"/>
      <c r="Q64" s="93"/>
    </row>
    <row r="65" spans="1:17" x14ac:dyDescent="0.35">
      <c r="A65" s="93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93"/>
    </row>
    <row r="66" spans="1:17" ht="18" x14ac:dyDescent="0.4">
      <c r="A66" s="93"/>
      <c r="B66" s="89" t="s">
        <v>120</v>
      </c>
      <c r="C66" s="89" t="s">
        <v>112</v>
      </c>
      <c r="D66" s="89"/>
      <c r="E66" s="72" t="s">
        <v>107</v>
      </c>
      <c r="F66" s="50" t="s">
        <v>41</v>
      </c>
      <c r="G66" s="50" t="s">
        <v>111</v>
      </c>
      <c r="H66" s="50" t="s">
        <v>44</v>
      </c>
      <c r="I66" s="50" t="s">
        <v>41</v>
      </c>
      <c r="J66" s="55" t="s">
        <v>87</v>
      </c>
      <c r="K66" s="72" t="s">
        <v>110</v>
      </c>
      <c r="L66" s="50" t="s">
        <v>44</v>
      </c>
      <c r="M66" s="50" t="s">
        <v>41</v>
      </c>
      <c r="N66" s="90" t="s">
        <v>42</v>
      </c>
      <c r="O66" s="72" t="s">
        <v>109</v>
      </c>
      <c r="P66" s="50" t="s">
        <v>41</v>
      </c>
      <c r="Q66" s="93"/>
    </row>
    <row r="67" spans="1:17" x14ac:dyDescent="0.35">
      <c r="A67" s="93"/>
      <c r="B67" s="89"/>
      <c r="C67" s="89"/>
      <c r="D67" s="89"/>
      <c r="E67" s="74">
        <v>10</v>
      </c>
      <c r="F67" s="91" t="s">
        <v>108</v>
      </c>
      <c r="G67" s="75">
        <v>100</v>
      </c>
      <c r="H67" s="88" t="s">
        <v>24</v>
      </c>
      <c r="I67" s="92" t="s">
        <v>46</v>
      </c>
      <c r="J67" s="57" t="s">
        <v>18</v>
      </c>
      <c r="K67" s="75">
        <v>16</v>
      </c>
      <c r="L67" s="88" t="s">
        <v>93</v>
      </c>
      <c r="M67" s="51" t="s">
        <v>43</v>
      </c>
      <c r="N67" s="90"/>
      <c r="O67" s="58">
        <f>E67/G67/VLOOKUP(H67,'Lookup Table'!$G$3:$H$13,2,FALSE)/K67/VLOOKUP(L67,'Lookup Table'!$G$3:$H$13,2,FALSE)</f>
        <v>6250000</v>
      </c>
      <c r="P67" s="91" t="s">
        <v>108</v>
      </c>
      <c r="Q67" s="93"/>
    </row>
    <row r="68" spans="1:17" x14ac:dyDescent="0.35">
      <c r="A68" s="93"/>
      <c r="B68" s="89"/>
      <c r="C68" s="89"/>
      <c r="D68" s="89"/>
      <c r="E68" s="74">
        <v>10</v>
      </c>
      <c r="F68" s="91"/>
      <c r="G68" s="75">
        <v>100</v>
      </c>
      <c r="H68" s="88" t="s">
        <v>24</v>
      </c>
      <c r="I68" s="92"/>
      <c r="J68" s="57" t="s">
        <v>6</v>
      </c>
      <c r="K68" s="75">
        <v>62.44</v>
      </c>
      <c r="L68" s="88" t="s">
        <v>22</v>
      </c>
      <c r="M68" s="51" t="s">
        <v>46</v>
      </c>
      <c r="N68" s="90"/>
      <c r="O68" s="58">
        <f>E68/G68/VLOOKUP(H68,'Lookup Table'!$G$3:$H$13,2,FALSE)*K68*VLOOKUP(L68,'Lookup Table'!$G$3:$H$13,2,FALSE)</f>
        <v>6244000</v>
      </c>
      <c r="P68" s="91"/>
      <c r="Q68" s="93"/>
    </row>
    <row r="69" spans="1:17" x14ac:dyDescent="0.35">
      <c r="A69" s="93"/>
      <c r="B69" s="89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93"/>
    </row>
    <row r="70" spans="1:17" ht="18" x14ac:dyDescent="0.4">
      <c r="A70" s="93"/>
      <c r="B70" s="89"/>
      <c r="C70" s="89" t="s">
        <v>113</v>
      </c>
      <c r="D70" s="89"/>
      <c r="E70" s="72" t="s">
        <v>109</v>
      </c>
      <c r="F70" s="50" t="s">
        <v>41</v>
      </c>
      <c r="G70" s="50" t="s">
        <v>111</v>
      </c>
      <c r="H70" s="50" t="s">
        <v>44</v>
      </c>
      <c r="I70" s="50" t="s">
        <v>41</v>
      </c>
      <c r="J70" s="55" t="s">
        <v>87</v>
      </c>
      <c r="K70" s="72" t="s">
        <v>110</v>
      </c>
      <c r="L70" s="50" t="s">
        <v>44</v>
      </c>
      <c r="M70" s="50" t="s">
        <v>41</v>
      </c>
      <c r="N70" s="90" t="s">
        <v>42</v>
      </c>
      <c r="O70" s="72" t="s">
        <v>107</v>
      </c>
      <c r="P70" s="50" t="s">
        <v>41</v>
      </c>
      <c r="Q70" s="93"/>
    </row>
    <row r="71" spans="1:17" x14ac:dyDescent="0.35">
      <c r="A71" s="93"/>
      <c r="B71" s="89"/>
      <c r="C71" s="89"/>
      <c r="D71" s="89"/>
      <c r="E71" s="74">
        <v>10</v>
      </c>
      <c r="F71" s="91" t="s">
        <v>108</v>
      </c>
      <c r="G71" s="75">
        <v>100</v>
      </c>
      <c r="H71" s="88" t="s">
        <v>24</v>
      </c>
      <c r="I71" s="92" t="s">
        <v>46</v>
      </c>
      <c r="J71" s="57" t="s">
        <v>18</v>
      </c>
      <c r="K71" s="75">
        <v>16</v>
      </c>
      <c r="L71" s="88" t="s">
        <v>93</v>
      </c>
      <c r="M71" s="51" t="s">
        <v>43</v>
      </c>
      <c r="N71" s="90"/>
      <c r="O71" s="58">
        <f>E71*G71*VLOOKUP(H71,'Lookup Table'!$G$3:$H$13,2,FALSE)*K71*VLOOKUP(L71,'Lookup Table'!$G$3:$H$13,2,FALSE)</f>
        <v>1.5999999999999999E-5</v>
      </c>
      <c r="P71" s="91" t="s">
        <v>108</v>
      </c>
      <c r="Q71" s="93"/>
    </row>
    <row r="72" spans="1:17" x14ac:dyDescent="0.35">
      <c r="A72" s="93"/>
      <c r="B72" s="89"/>
      <c r="C72" s="89"/>
      <c r="D72" s="89"/>
      <c r="E72" s="74">
        <v>10</v>
      </c>
      <c r="F72" s="91"/>
      <c r="G72" s="75">
        <v>100</v>
      </c>
      <c r="H72" s="88" t="s">
        <v>24</v>
      </c>
      <c r="I72" s="92"/>
      <c r="J72" s="57" t="s">
        <v>6</v>
      </c>
      <c r="K72" s="75">
        <v>62.44</v>
      </c>
      <c r="L72" s="88" t="s">
        <v>22</v>
      </c>
      <c r="M72" s="51" t="s">
        <v>46</v>
      </c>
      <c r="N72" s="90"/>
      <c r="O72" s="58">
        <f>E72*G72*VLOOKUP(H72,'Lookup Table'!$G$3:$H$13,2,FALSE)/K72/VLOOKUP(L72,'Lookup Table'!$G$3:$H$13,2,FALSE)</f>
        <v>1.6015374759769378E-5</v>
      </c>
      <c r="P72" s="91"/>
      <c r="Q72" s="93"/>
    </row>
    <row r="73" spans="1:17" x14ac:dyDescent="0.3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</row>
    <row r="74" spans="1:17" x14ac:dyDescent="0.3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</row>
  </sheetData>
  <sheetProtection algorithmName="SHA-512" hashValue="9PPogMhSQFPSqKjDdYnHyw6A7KcH4A4D4xfsZOs/n3bdIAa55O/g/8hvjqAukrGt8v1H1LFYdJ3jUu2nQFp1Fg==" saltValue="Wbi4JMkS2SCPpIXMWkezkQ==" spinCount="100000" sheet="1" objects="1" scenarios="1"/>
  <mergeCells count="155">
    <mergeCell ref="L63:L64"/>
    <mergeCell ref="I63:K63"/>
    <mergeCell ref="I64:K64"/>
    <mergeCell ref="I62:K62"/>
    <mergeCell ref="M62:O62"/>
    <mergeCell ref="P63:P64"/>
    <mergeCell ref="M63:O63"/>
    <mergeCell ref="M64:O64"/>
    <mergeCell ref="M49:M51"/>
    <mergeCell ref="M53:M55"/>
    <mergeCell ref="H54:H55"/>
    <mergeCell ref="B50:E50"/>
    <mergeCell ref="B51:E51"/>
    <mergeCell ref="B54:E54"/>
    <mergeCell ref="B55:E55"/>
    <mergeCell ref="B45:P45"/>
    <mergeCell ref="H50:H51"/>
    <mergeCell ref="P50:P51"/>
    <mergeCell ref="P54:P55"/>
    <mergeCell ref="M43:P43"/>
    <mergeCell ref="O41:P41"/>
    <mergeCell ref="K41:L41"/>
    <mergeCell ref="B41:I41"/>
    <mergeCell ref="A40:XFD40"/>
    <mergeCell ref="A41:A43"/>
    <mergeCell ref="Q41:Q43"/>
    <mergeCell ref="E42:F42"/>
    <mergeCell ref="E43:F43"/>
    <mergeCell ref="I43:K43"/>
    <mergeCell ref="M42:P42"/>
    <mergeCell ref="I42:K42"/>
    <mergeCell ref="E11:E12"/>
    <mergeCell ref="F11:G11"/>
    <mergeCell ref="F12:G12"/>
    <mergeCell ref="I11:I12"/>
    <mergeCell ref="M11:M12"/>
    <mergeCell ref="B14:C14"/>
    <mergeCell ref="E14:E15"/>
    <mergeCell ref="F14:G14"/>
    <mergeCell ref="I14:I15"/>
    <mergeCell ref="M14:M15"/>
    <mergeCell ref="H36:J36"/>
    <mergeCell ref="M36:O36"/>
    <mergeCell ref="B31:P31"/>
    <mergeCell ref="H38:J38"/>
    <mergeCell ref="M38:O38"/>
    <mergeCell ref="H39:J39"/>
    <mergeCell ref="M39:O39"/>
    <mergeCell ref="C38:D38"/>
    <mergeCell ref="N8:O8"/>
    <mergeCell ref="N9:O9"/>
    <mergeCell ref="B4:P4"/>
    <mergeCell ref="G21:H21"/>
    <mergeCell ref="G22:H22"/>
    <mergeCell ref="A30:Q30"/>
    <mergeCell ref="B15:C15"/>
    <mergeCell ref="F15:G15"/>
    <mergeCell ref="Q4:Q15"/>
    <mergeCell ref="A4:A15"/>
    <mergeCell ref="I8:I9"/>
    <mergeCell ref="M8:M9"/>
    <mergeCell ref="J8:K8"/>
    <mergeCell ref="J9:K9"/>
    <mergeCell ref="E5:E6"/>
    <mergeCell ref="E8:E9"/>
    <mergeCell ref="C39:D39"/>
    <mergeCell ref="A3:Q3"/>
    <mergeCell ref="H32:J32"/>
    <mergeCell ref="H33:J33"/>
    <mergeCell ref="M32:O32"/>
    <mergeCell ref="M33:O33"/>
    <mergeCell ref="H35:J35"/>
    <mergeCell ref="M35:O35"/>
    <mergeCell ref="Q31:Q39"/>
    <mergeCell ref="A31:A39"/>
    <mergeCell ref="B11:C11"/>
    <mergeCell ref="C18:D18"/>
    <mergeCell ref="C19:D19"/>
    <mergeCell ref="A17:A22"/>
    <mergeCell ref="Q17:Q22"/>
    <mergeCell ref="A24:A29"/>
    <mergeCell ref="Q24:Q29"/>
    <mergeCell ref="A23:XFD23"/>
    <mergeCell ref="A1:Q1"/>
    <mergeCell ref="B17:H17"/>
    <mergeCell ref="J17:P17"/>
    <mergeCell ref="B16:P16"/>
    <mergeCell ref="I17:I22"/>
    <mergeCell ref="E21:E22"/>
    <mergeCell ref="G26:H26"/>
    <mergeCell ref="C25:D25"/>
    <mergeCell ref="G25:H25"/>
    <mergeCell ref="B2:F2"/>
    <mergeCell ref="H2:K2"/>
    <mergeCell ref="N5:O5"/>
    <mergeCell ref="N6:O6"/>
    <mergeCell ref="J5:K5"/>
    <mergeCell ref="I24:I29"/>
    <mergeCell ref="J24:P24"/>
    <mergeCell ref="K25:L25"/>
    <mergeCell ref="M25:M26"/>
    <mergeCell ref="O25:P25"/>
    <mergeCell ref="K26:L26"/>
    <mergeCell ref="O26:P26"/>
    <mergeCell ref="B12:C12"/>
    <mergeCell ref="J6:K6"/>
    <mergeCell ref="I5:I6"/>
    <mergeCell ref="A45:A55"/>
    <mergeCell ref="Q45:XFD55"/>
    <mergeCell ref="A44:Q44"/>
    <mergeCell ref="A56:Q56"/>
    <mergeCell ref="I58:I60"/>
    <mergeCell ref="H63:H64"/>
    <mergeCell ref="M2:P2"/>
    <mergeCell ref="B24:H24"/>
    <mergeCell ref="E25:E26"/>
    <mergeCell ref="E28:E29"/>
    <mergeCell ref="C26:D26"/>
    <mergeCell ref="E18:E19"/>
    <mergeCell ref="M18:M19"/>
    <mergeCell ref="M21:M22"/>
    <mergeCell ref="C28:D28"/>
    <mergeCell ref="C29:D29"/>
    <mergeCell ref="G28:H28"/>
    <mergeCell ref="G29:H29"/>
    <mergeCell ref="K28:L28"/>
    <mergeCell ref="M28:M29"/>
    <mergeCell ref="O28:P28"/>
    <mergeCell ref="K29:L29"/>
    <mergeCell ref="O29:P29"/>
    <mergeCell ref="M5:M6"/>
    <mergeCell ref="C70:D72"/>
    <mergeCell ref="N70:N72"/>
    <mergeCell ref="F71:F72"/>
    <mergeCell ref="I71:I72"/>
    <mergeCell ref="P71:P72"/>
    <mergeCell ref="B66:B72"/>
    <mergeCell ref="A57:A72"/>
    <mergeCell ref="Q57:Q72"/>
    <mergeCell ref="C66:D68"/>
    <mergeCell ref="N66:N68"/>
    <mergeCell ref="F67:F68"/>
    <mergeCell ref="I67:I68"/>
    <mergeCell ref="P67:P68"/>
    <mergeCell ref="B60:C60"/>
    <mergeCell ref="F60:G60"/>
    <mergeCell ref="H59:H60"/>
    <mergeCell ref="L59:L60"/>
    <mergeCell ref="P59:P60"/>
    <mergeCell ref="F58:G58"/>
    <mergeCell ref="F59:G59"/>
    <mergeCell ref="B57:P57"/>
    <mergeCell ref="B58:C58"/>
    <mergeCell ref="B59:C59"/>
    <mergeCell ref="B62:B64"/>
  </mergeCells>
  <hyperlinks>
    <hyperlink ref="M2:P2" r:id="rId1" display="GitHub Projects" xr:uid="{226AF65F-FBDE-4488-A53A-C21A45A935BB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E0DA31-2DA9-4E1F-9196-C8B662878848}">
          <x14:formula1>
            <xm:f>'Lookup Table'!$G$3:$G$13</xm:f>
          </x14:formula1>
          <xm:sqref>C33 G19 C22 K19 O19 K22 O22 C6 G6 C36 C9:C10 G9:G10 K12 O12 G13 C13 K15 O15 D47 O47 G47 L47 O54:O55 K50:K51 O50:O51 G50:G51 G54:G55 K54:K55 O59:O60 K59:K60 F63:F64 H67:H68 L67:L68 H71:H72 L71:L72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36B4-B073-43BC-A441-957E17A00817}">
  <dimension ref="A1:Q13"/>
  <sheetViews>
    <sheetView workbookViewId="0">
      <pane ySplit="2" topLeftCell="A3" activePane="bottomLeft" state="frozen"/>
      <selection pane="bottomLeft" activeCell="A12" sqref="A12:D12"/>
    </sheetView>
  </sheetViews>
  <sheetFormatPr defaultColWidth="0" defaultRowHeight="17.5" zeroHeight="1" x14ac:dyDescent="0.35"/>
  <cols>
    <col min="1" max="1" width="43.1796875" style="1" bestFit="1" customWidth="1"/>
    <col min="2" max="2" width="11.26953125" style="1" bestFit="1" customWidth="1"/>
    <col min="3" max="3" width="22.453125" style="3" bestFit="1" customWidth="1"/>
    <col min="4" max="5" width="9.1796875" style="1" customWidth="1"/>
    <col min="6" max="6" width="9" style="1" bestFit="1" customWidth="1"/>
    <col min="7" max="7" width="11.26953125" style="1" bestFit="1" customWidth="1"/>
    <col min="8" max="8" width="11.7265625" style="2" bestFit="1" customWidth="1"/>
    <col min="9" max="16384" width="9.1796875" style="1" hidden="1"/>
  </cols>
  <sheetData>
    <row r="1" spans="1:17" ht="29.5" x14ac:dyDescent="0.55000000000000004">
      <c r="A1" s="153" t="s">
        <v>40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</row>
    <row r="2" spans="1:17" ht="18" x14ac:dyDescent="0.4">
      <c r="A2" s="7" t="s">
        <v>8</v>
      </c>
      <c r="B2" s="7" t="s">
        <v>2</v>
      </c>
      <c r="C2" s="8" t="s">
        <v>3</v>
      </c>
      <c r="D2" s="7" t="s">
        <v>4</v>
      </c>
      <c r="E2" s="155"/>
      <c r="F2" s="14" t="s">
        <v>27</v>
      </c>
      <c r="G2" s="14" t="s">
        <v>90</v>
      </c>
      <c r="H2" s="15" t="s">
        <v>5</v>
      </c>
    </row>
    <row r="3" spans="1:17" x14ac:dyDescent="0.35">
      <c r="A3" s="9" t="s">
        <v>25</v>
      </c>
      <c r="B3" s="10" t="s">
        <v>26</v>
      </c>
      <c r="C3" s="11">
        <v>299792458</v>
      </c>
      <c r="D3" s="9" t="s">
        <v>36</v>
      </c>
      <c r="E3" s="155"/>
      <c r="F3" s="16" t="s">
        <v>7</v>
      </c>
      <c r="G3" s="16" t="s">
        <v>9</v>
      </c>
      <c r="H3" s="17">
        <v>1000000000000000</v>
      </c>
    </row>
    <row r="4" spans="1:17" x14ac:dyDescent="0.35">
      <c r="A4" s="9" t="s">
        <v>29</v>
      </c>
      <c r="B4" s="10" t="s">
        <v>33</v>
      </c>
      <c r="C4" s="12">
        <v>1.6021766299999999E-19</v>
      </c>
      <c r="D4" s="9" t="s">
        <v>37</v>
      </c>
      <c r="E4" s="155"/>
      <c r="F4" s="16" t="s">
        <v>6</v>
      </c>
      <c r="G4" s="16" t="s">
        <v>91</v>
      </c>
      <c r="H4" s="17">
        <v>1000000000000</v>
      </c>
    </row>
    <row r="5" spans="1:17" x14ac:dyDescent="0.35">
      <c r="A5" s="9" t="s">
        <v>30</v>
      </c>
      <c r="B5" s="9" t="s">
        <v>34</v>
      </c>
      <c r="C5" s="12">
        <v>9.1093837000000001E-31</v>
      </c>
      <c r="D5" s="9" t="s">
        <v>38</v>
      </c>
      <c r="E5" s="155"/>
      <c r="F5" s="16" t="s">
        <v>10</v>
      </c>
      <c r="G5" s="16" t="s">
        <v>92</v>
      </c>
      <c r="H5" s="17">
        <v>1000000000</v>
      </c>
    </row>
    <row r="6" spans="1:17" x14ac:dyDescent="0.35">
      <c r="A6" s="9" t="s">
        <v>28</v>
      </c>
      <c r="B6" s="10" t="s">
        <v>35</v>
      </c>
      <c r="C6" s="12">
        <v>6.6260701499999998E-34</v>
      </c>
      <c r="D6" s="9" t="s">
        <v>39</v>
      </c>
      <c r="E6" s="155"/>
      <c r="F6" s="16" t="s">
        <v>12</v>
      </c>
      <c r="G6" s="16" t="s">
        <v>93</v>
      </c>
      <c r="H6" s="17">
        <v>1000000</v>
      </c>
    </row>
    <row r="7" spans="1:17" x14ac:dyDescent="0.35">
      <c r="A7" s="9" t="s">
        <v>31</v>
      </c>
      <c r="B7" s="9"/>
      <c r="C7" s="13">
        <v>0.44</v>
      </c>
      <c r="D7" s="9"/>
      <c r="E7" s="155"/>
      <c r="F7" s="16" t="s">
        <v>11</v>
      </c>
      <c r="G7" s="16" t="s">
        <v>19</v>
      </c>
      <c r="H7" s="17">
        <v>1000</v>
      </c>
    </row>
    <row r="8" spans="1:17" x14ac:dyDescent="0.35">
      <c r="A8" s="9" t="s">
        <v>32</v>
      </c>
      <c r="B8" s="9"/>
      <c r="C8" s="13">
        <v>0.315</v>
      </c>
      <c r="D8" s="9"/>
      <c r="E8" s="155"/>
      <c r="F8" s="16" t="s">
        <v>13</v>
      </c>
      <c r="G8" s="16" t="s">
        <v>13</v>
      </c>
      <c r="H8" s="17">
        <v>1</v>
      </c>
    </row>
    <row r="9" spans="1:17" x14ac:dyDescent="0.35">
      <c r="A9" s="21"/>
      <c r="B9" s="21"/>
      <c r="C9" s="156"/>
      <c r="D9" s="21"/>
      <c r="E9" s="155"/>
      <c r="F9" s="16" t="s">
        <v>14</v>
      </c>
      <c r="G9" s="16" t="s">
        <v>20</v>
      </c>
      <c r="H9" s="17">
        <v>1E-3</v>
      </c>
    </row>
    <row r="10" spans="1:17" ht="18" x14ac:dyDescent="0.4">
      <c r="A10" s="157" t="s">
        <v>122</v>
      </c>
      <c r="B10" s="158" t="s">
        <v>127</v>
      </c>
      <c r="C10" s="158"/>
      <c r="D10" s="21"/>
      <c r="E10" s="155"/>
      <c r="F10" s="16" t="s">
        <v>15</v>
      </c>
      <c r="G10" s="16" t="s">
        <v>21</v>
      </c>
      <c r="H10" s="17">
        <v>9.9999999999999995E-7</v>
      </c>
    </row>
    <row r="11" spans="1:17" x14ac:dyDescent="0.35">
      <c r="A11" s="159" t="s">
        <v>123</v>
      </c>
      <c r="B11" s="159"/>
      <c r="C11" s="159"/>
      <c r="D11" s="159"/>
      <c r="E11" s="155"/>
      <c r="F11" s="16" t="s">
        <v>16</v>
      </c>
      <c r="G11" s="16" t="s">
        <v>22</v>
      </c>
      <c r="H11" s="17">
        <v>1.0000000000000001E-9</v>
      </c>
    </row>
    <row r="12" spans="1:17" x14ac:dyDescent="0.35">
      <c r="A12" s="158" t="s">
        <v>126</v>
      </c>
      <c r="B12" s="158"/>
      <c r="C12" s="158"/>
      <c r="D12" s="158"/>
      <c r="E12" s="155"/>
      <c r="F12" s="16" t="s">
        <v>17</v>
      </c>
      <c r="G12" s="16" t="s">
        <v>23</v>
      </c>
      <c r="H12" s="17">
        <v>9.9999999999999998E-13</v>
      </c>
    </row>
    <row r="13" spans="1:17" x14ac:dyDescent="0.35">
      <c r="A13" s="158" t="s">
        <v>124</v>
      </c>
      <c r="B13" s="158"/>
      <c r="C13" s="160" t="s">
        <v>125</v>
      </c>
      <c r="D13" s="160"/>
      <c r="E13" s="155"/>
      <c r="F13" s="16" t="s">
        <v>18</v>
      </c>
      <c r="G13" s="16" t="s">
        <v>24</v>
      </c>
      <c r="H13" s="17">
        <v>1.0000000000000001E-15</v>
      </c>
    </row>
  </sheetData>
  <sheetProtection algorithmName="SHA-512" hashValue="KEodrNKq7dKjqJTBXQdCQGc7lAeM0db6zfSX0WKBFlte5vxBqJVK4Z6ufTAv8g6LbYxMjrGAiQMIJyXW9Ki8Ww==" saltValue="aZ5AXIzRRriA65wYzpPwTg==" spinCount="100000" sheet="1" objects="1" scenarios="1"/>
  <mergeCells count="7">
    <mergeCell ref="A1:Q1"/>
    <mergeCell ref="E2:E13"/>
    <mergeCell ref="B10:C10"/>
    <mergeCell ref="A11:D11"/>
    <mergeCell ref="A12:D12"/>
    <mergeCell ref="A13:B13"/>
    <mergeCell ref="C13:D13"/>
  </mergeCells>
  <hyperlinks>
    <hyperlink ref="A13" r:id="rId1" xr:uid="{5B80AFA4-AAAA-49AC-8C47-D5D55F522147}"/>
    <hyperlink ref="A12" r:id="rId2" xr:uid="{E9BA6C84-0D9F-4C41-B3C4-C237D5E16AA1}"/>
    <hyperlink ref="B10" r:id="rId3" xr:uid="{ECDC269E-3613-4020-B65C-B214282EC0D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Lookup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Jiaye Wu</dc:creator>
  <cp:lastModifiedBy>Jiaye Wu</cp:lastModifiedBy>
  <dcterms:created xsi:type="dcterms:W3CDTF">2015-06-05T18:17:20Z</dcterms:created>
  <dcterms:modified xsi:type="dcterms:W3CDTF">2024-10-15T19:51:28Z</dcterms:modified>
</cp:coreProperties>
</file>